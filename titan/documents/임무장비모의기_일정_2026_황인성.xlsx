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activeTab="0"/>
  </bookViews>
  <sheets>
    <sheet name="Schedule" sheetId="1" r:id="rId1"/>
    <sheet name="Calendar" sheetId="2" r:id="rId2"/>
    <sheet name="Progress" sheetId="3" r:id="rId3"/>
  </sheets>
  <externalReferences>
    <externalReference r:id="rId4"/>
  </externalReferences>
  <definedNames/>
  <calcPr calcId="152511"/>
</workbook>
</file>

<file path=xl/comments1.xml><?xml version="1.0" encoding="utf-8"?>
<comments xmlns="http://schemas.openxmlformats.org/spreadsheetml/2006/main">
  <authors>
    <author/>
  </authors>
  <commentList>
    <comment ref="AB3" authorId="0">
      <text>
        <r>
          <rPr>
            <sz val="10"/>
            <color indexed="0"/>
            <rFont val="돋움"/>
          </rPr>
          <t>- 파란색: 진행중 또는 미도래 일정
- 회색: 완료
- 빨간색: 지연</t>
        </r>
      </text>
    </comment>
    <comment ref="A3" authorId="0">
      <text>
        <r>
          <rPr>
            <sz val="10"/>
            <color indexed="0"/>
            <rFont val="돋움"/>
          </rPr>
          <t>수정금지, 프로그램에서 사용하는 셀입니다.</t>
        </r>
      </text>
    </comment>
  </commentList>
</comments>
</file>

<file path=xl/sharedStrings.xml><?xml version="1.0" encoding="utf-8"?>
<sst xmlns="http://schemas.openxmlformats.org/spreadsheetml/2006/main" count="480" uniqueCount="480">
  <si>
    <t>샘플 프로젝트</t>
  </si>
  <si>
    <t>프로젝트 기간: 2026-05-11 ~ 2026-07-31 (계획 0.69%, 실적 0.00%)</t>
  </si>
  <si>
    <t>XLGantt for Google Sheets™ ©xlworks.net</t>
  </si>
  <si>
    <t>* 회색은 자동계산, 파란색은 직접 입력</t>
  </si>
  <si>
    <t>계획진척률 계산기준일: 2026-05-11</t>
  </si>
  <si>
    <t>업데이트: 2026-05-11 06:03:59</t>
  </si>
  <si>
    <t>속성</t>
  </si>
  <si>
    <t>WBS</t>
  </si>
  <si>
    <t>작업*</t>
  </si>
  <si>
    <t>비고</t>
  </si>
  <si>
    <t>시작일*</t>
  </si>
  <si>
    <t>완료일*</t>
  </si>
  <si>
    <t>총작업량</t>
  </si>
  <si>
    <t>계획작업량</t>
  </si>
  <si>
    <t>총기간</t>
  </si>
  <si>
    <t>계획기간</t>
  </si>
  <si>
    <t>실제시작일</t>
  </si>
  <si>
    <t>실제완료일</t>
  </si>
  <si>
    <t>실제총작업량</t>
  </si>
  <si>
    <t>실제총기간</t>
  </si>
  <si>
    <t>담당</t>
  </si>
  <si>
    <t>산출물</t>
  </si>
  <si>
    <t>계획</t>
  </si>
  <si>
    <t>실적*</t>
  </si>
  <si>
    <t>Gantt Chart</t>
  </si>
  <si>
    <t>작업요약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</si>
  <si>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</si>
  <si>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</si>
  <si>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</si>
  <si>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</si>
  <si>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</si>
  <si>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</si>
  <si>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</si>
  <si>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</si>
  <si>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</si>
  <si>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</si>
  <si>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r>
      <rPr>
        <b/>
        <i/>
        <sz val="8"/>
        <color rgb="FFFF0000"/>
        <rFont val="Malgun Gothic"/>
      </rPr>
      <t>05/11</t>
    </r>
    <r>
      <rPr>
        <i/>
        <sz val="8"/>
        <color theme="1"/>
        <rFont val="Malgun Gothic"/>
      </rPr>
      <t xml:space="preserve">                                                                    </t>
    </r>
    <r>
      <rPr>
        <i/>
        <sz val="8"/>
        <color rgb="FF000000"/>
        <rFont val="Malgun Gothic"/>
      </rPr>
      <t>07/31</t>
    </r>
  </si>
  <si>
    <t>시스템 아키텍처 및 입력 시스템 구축</t>
  </si>
  <si>
    <t>김준영</t>
  </si>
  <si>
    <t>05/11-06/01 | 시스템 아키텍처 및 입력 시스템 구축</t>
  </si>
  <si>
    <t>프로젝트 기초 및 지형 시스템</t>
  </si>
  <si>
    <t>05/11-05/20 | 프로젝트 기초 및 지형 시스템</t>
  </si>
  <si>
    <t>1.1.1</t>
  </si>
  <si>
    <t>Unreal Engine 프로젝트 환경 설정 (버전 관리 및 플러그인 구성)</t>
  </si>
  <si>
    <t>05/11-05/11 | Unreal Engine 프로젝트 환경 설정 (버전 관리 및 플러그인 구성)</t>
  </si>
  <si>
    <t>1.1.2</t>
  </si>
  <si>
    <t>World Composition 기반 1km x 1km 지형 시스템 설계</t>
  </si>
  <si>
    <t>05/12-05/12 | World Composition 기반 1km x 1km 지형 시스템 설계</t>
  </si>
  <si>
    <t>1.1.3</t>
  </si>
  <si>
    <t>구글어스 DTED 데이터 기반 지형 임포트 및 스케일 보정</t>
  </si>
  <si>
    <t>05/13-05/13 | 구글어스 DTED 데이터 기반 지형 임포트 및 스케일 보정</t>
  </si>
  <si>
    <t>1.1.4</t>
  </si>
  <si>
    <t>위성지도 텍스처 타일링 로직 구현 (자동 매핑 머티리얼)</t>
  </si>
  <si>
    <t>05/14-05/14 | 위성지도 텍스처 타일링 로직 구현 (자동 매핑 머티리얼)</t>
  </si>
  <si>
    <t>1.1.5</t>
  </si>
  <si>
    <t>NavMesh 및 데이터 에셋(지형 속성 등) 레이어 분리</t>
  </si>
  <si>
    <t>05/15-05/15 | NavMesh 및 데이터 에셋(지형 속성 등) 레이어 분리</t>
  </si>
  <si>
    <t>1.1.6</t>
  </si>
  <si>
    <t>외주 에셋 수용을 위한 폴더 구조 및 네이밍 컨벤션 확립</t>
  </si>
  <si>
    <t>05/18-05/18 | 외주 에셋 수용을 위한 폴더 구조 및 네이밍 컨벤션 확립</t>
  </si>
  <si>
    <t>1.1.7</t>
  </si>
  <si>
    <t>임시 에셋(박스/실린더)을 활용한 단위 거리 및 속도 테스트 환경 구축</t>
  </si>
  <si>
    <t>05/19-05/19 | 임시 에셋(박스/실린더)을 활용한 단위 거리 및 속도 테스트 환경 구축</t>
  </si>
  <si>
    <t>1.1.8</t>
  </si>
  <si>
    <t>Global 시나리오 매니저 싱글톤 클래스 생성</t>
  </si>
  <si>
    <t>05/20-05/20 | Global 시나리오 매니저 싱글톤 클래스 생성</t>
  </si>
  <si>
    <t>1.1.9</t>
  </si>
  <si>
    <t>Level Streaming 기초 로직 구성</t>
  </si>
  <si>
    <t>05/15-05/15 | Level Streaming 기초 로직 구성</t>
  </si>
  <si>
    <t>1.1.10</t>
  </si>
  <si>
    <t>지형 충돌체(Collision) 및 물리 재질(Physical Material) 설정</t>
  </si>
  <si>
    <t>05/15-05/15 | 지형 충돌체(Collision) 및 물리 재질(Physical Material) 설정</t>
  </si>
  <si>
    <t>조이스틱 및 입력 시스템 개발</t>
  </si>
  <si>
    <t>05/18-05/22 | 조이스틱 및 입력 시스템 개발</t>
  </si>
  <si>
    <t>1.2.1</t>
  </si>
  <si>
    <t>RAW Input/HID 기반 외부 조이스틱 연동 인터페이스 개발</t>
  </si>
  <si>
    <t>05/18-05/18 | RAW Input/HID 기반 외부 조이스틱 연동 인터페이스 개발</t>
  </si>
  <si>
    <t>1.2.2</t>
  </si>
  <si>
    <t>조이스틱 축 데이터(Axis) ↔ 엔진 축 데이터 매핑 로직</t>
  </si>
  <si>
    <t>05/18-05/18 | 조이스틱 축 데이터(Axis) ↔ 엔진 축 데이터 매핑 로직</t>
  </si>
  <si>
    <t>1.2.3</t>
  </si>
  <si>
    <t>UAV용 4축 제어 커스텀 입력 컴포넌트 개발</t>
  </si>
  <si>
    <t>05/19-05/19 | UAV용 4축 제어 커스텀 입력 컴포넌트 개발</t>
  </si>
  <si>
    <t>1.2.4</t>
  </si>
  <si>
    <t>UGV용 전진/후진/조향 제어 로직 구현</t>
  </si>
  <si>
    <t>05/19-05/19 | UGV용 전진/후진/조향 제어 로직 구현</t>
  </si>
  <si>
    <t>1.2.5</t>
  </si>
  <si>
    <t>RCWS Pan/Tilt 제어용 전용 입력 감도 곡선(Curve) 적용</t>
  </si>
  <si>
    <t>05/20-05/20 | RCWS Pan/Tilt 제어용 전용 입력 감도 곡선(Curve) 적용</t>
  </si>
  <si>
    <t>1.2.6</t>
  </si>
  <si>
    <t>버튼 입력을 통한 제어권 전환(UAV ↔ RCWS) 모드 천이 시스템</t>
  </si>
  <si>
    <t>05/20-05/20 | 버튼 입력을 통한 제어권 전환(UAV ↔ RCWS) 모드 천이 시스템</t>
  </si>
  <si>
    <t>1.2.7</t>
  </si>
  <si>
    <t>조이스틱 데드존(Deadzone) 및 선형 보정 알고리즘 적용</t>
  </si>
  <si>
    <t>05/21-05/21 | 조이스틱 데드존(Deadzone) 및 선형 보정 알고리즘 적용</t>
  </si>
  <si>
    <t>1.2.8</t>
  </si>
  <si>
    <t>키보드/마우스 디버깅용 입력 우회 로직 구현</t>
  </si>
  <si>
    <t>05/21-05/21 | 키보드/마우스 디버깅용 입력 우회 로직 구현</t>
  </si>
  <si>
    <t>1.2.9</t>
  </si>
  <si>
    <t>조이스틱 입력 상태 시각화 디버그 UI 제작</t>
  </si>
  <si>
    <t>05/22-05/22 | 조이스틱 입력 상태 시각화 디버그 UI 제작</t>
  </si>
  <si>
    <t>1.2.10</t>
  </si>
  <si>
    <t>다중 컨트롤러(2대 이상) 연동 시 충돌 방지 로직</t>
  </si>
  <si>
    <t>05/22-05/22 | 다중 컨트롤러(2대 이상) 연동 시 충돌 방지 로직</t>
  </si>
  <si>
    <t>통신 인프라 및 데이터 파싱</t>
  </si>
  <si>
    <t>05/26-06/01 | 통신 인프라 및 데이터 파싱</t>
  </si>
  <si>
    <t>1.3.1</t>
  </si>
  <si>
    <t>UDP 소켓 통신 모듈(C++ 기반) 기초 구현</t>
  </si>
  <si>
    <t>05/26-05/26 | UDP 소켓 통신 모듈(C++ 기반) 기초 구현</t>
  </si>
  <si>
    <t>1.3.2</t>
  </si>
  <si>
    <t>LLM 모델 송수신 데이터 프로토콜(JSON/Binary) 정의</t>
  </si>
  <si>
    <t>05/26-05/26 | LLM 모델 송수신 데이터 프로토콜(JSON/Binary) 정의</t>
  </si>
  <si>
    <t>1.3.3</t>
  </si>
  <si>
    <t>적 위치 좌표 데이터(Lat/Long ↔ Unreal Vector) 변환 로직</t>
  </si>
  <si>
    <t>05/27-05/27 | 적 위치 좌표 데이터(Lat/Long ↔ Unreal Vector) 변환 로직</t>
  </si>
  <si>
    <t>1.3.4</t>
  </si>
  <si>
    <t>시나리오 상태(Start/Pause/End) 수신 트리거 시스템</t>
  </si>
  <si>
    <t>05/27-05/27 | 시나리오 상태(Start/Pause/End) 수신 트리거 시스템</t>
  </si>
  <si>
    <t>1.3.5</t>
  </si>
  <si>
    <t>실시간 데이터 로깅(Log) 및 파일 저장 시스템</t>
  </si>
  <si>
    <t>05/28-05/28 | 실시간 데이터 로깅(Log) 및 파일 저장 시스템</t>
  </si>
  <si>
    <t>1.3.6</t>
  </si>
  <si>
    <t>네트워크 레이턴시 시뮬레이터 및 예외 처리 로직</t>
  </si>
  <si>
    <t>05/28-05/28 | 네트워크 레이턴시 시뮬레이터 및 예외 처리 로직</t>
  </si>
  <si>
    <t>1.3.7</t>
  </si>
  <si>
    <t>외부 장치(팔란티어 TITAN 등) 프로토콜 더미 데이터 생성</t>
  </si>
  <si>
    <t>05/29-05/29 | 외부 장치(팔란티어 TITAN 등) 프로토콜 더미 데이터 생성</t>
  </si>
  <si>
    <t>1.3.8</t>
  </si>
  <si>
    <t>수신 데이터에 따른 미니맵 마커 동적 생성 로직</t>
  </si>
  <si>
    <t>05/29-05/29 | 수신 데이터에 따른 미니맵 마커 동적 생성 로직</t>
  </si>
  <si>
    <t>1.3.9</t>
  </si>
  <si>
    <t>통신 보안(Checksum/Encryption) 기초 모듈 개발</t>
  </si>
  <si>
    <t>06/01-06/01 | 통신 보안(Checksum/Encryption) 기초 모듈 개발</t>
  </si>
  <si>
    <t>1.3.10</t>
  </si>
  <si>
    <t>하트비트(Heartbeat) 패킷 기반 연결 상태 모니터링 기능</t>
  </si>
  <si>
    <t>06/01-06/01 | 하트비트(Heartbeat) 패킷 기반 연결 상태 모니터링 기능</t>
  </si>
  <si>
    <t>모빌리티 및 시각화 로직 구현</t>
  </si>
  <si>
    <t>06/02-07/22 | 모빌리티 및 시각화 로직 구현</t>
  </si>
  <si>
    <t>UAV(무인기) 비행 및 카메라 로직</t>
  </si>
  <si>
    <t>06/02-06/09 | UAV(무인기) 비행 및 카메라 로직</t>
  </si>
  <si>
    <t>2.1.1</t>
  </si>
  <si>
    <t>UAV Actor 클래스 및 물리 속성(Drag/Lift) 설정</t>
  </si>
  <si>
    <t>06/02-06/02 | UAV Actor 클래스 및 물리 속성(Drag/Lift) 설정</t>
  </si>
  <si>
    <t>2.1.2</t>
  </si>
  <si>
    <t>자동 이륙(5초간 20m 상승) 시퀀스 제어 로직</t>
  </si>
  <si>
    <t>06/02-06/02 | 자동 이륙(5초간 20m 상승) 시퀀스 제어 로직</t>
  </si>
  <si>
    <t>2.1.3</t>
  </si>
  <si>
    <t>목표 지점(Vector) 기반 직선 이동 비행 알고리즘</t>
  </si>
  <si>
    <t>06/04-06/04 | 목표 지점(Vector) 기반 직선 이동 비행 알고리즘</t>
  </si>
  <si>
    <t>2.1.4</t>
  </si>
  <si>
    <t>도착 판정(반경 20m) 및 정지/호버링 로직</t>
  </si>
  <si>
    <t>06/04-06/04 | 도착 판정(반경 20m) 및 정지/호버링 로직</t>
  </si>
  <si>
    <t>2.1.5</t>
  </si>
  <si>
    <t>UAV 카메라 Pan/Tilt 구동축(Gimbal) 로직 구현</t>
  </si>
  <si>
    <t>06/05-06/05 | UAV 카메라 Pan/Tilt 구동축(Gimbal) 로직 구현</t>
  </si>
  <si>
    <t>2.1.6</t>
  </si>
  <si>
    <t>Scene Capture Component 2D를 활용한 실시간 렌더링 피드</t>
  </si>
  <si>
    <t>06/05-06/05 | Scene Capture Component 2D를 활용한 실시간 렌더링 피드</t>
  </si>
  <si>
    <t>2.1.7</t>
  </si>
  <si>
    <t>비행 상태 데이터(고도/속도/방향) 실시간 업데이트 로직</t>
  </si>
  <si>
    <t>06/08-06/08 | 비행 상태 데이터(고도/속도/방향) 실시간 업데이트 로직</t>
  </si>
  <si>
    <t>2.1.8</t>
  </si>
  <si>
    <t>UAV 이동 시 지형 충돌 방지(Avoidance) 로직</t>
  </si>
  <si>
    <t>06/08-06/08 | UAV 이동 시 지형 충돌 방지(Avoidance) 로직</t>
  </si>
  <si>
    <t>2.1.9</t>
  </si>
  <si>
    <t>카메라 줌(Zoom) 기능 및 시야각(FOV) 연동 로직</t>
  </si>
  <si>
    <t>06/09-06/09 | 카메라 줌(Zoom) 기능 및 시야각(FOV) 연동 로직</t>
  </si>
  <si>
    <t>2.1.10</t>
  </si>
  <si>
    <t>UAV 영상 전송 가상 노이즈 효과 구현</t>
  </si>
  <si>
    <t>06/09-06/09 | UAV 영상 전송 가상 노이즈 효과 구현</t>
  </si>
  <si>
    <t>UGV(무인차량) AI 주행 및 통제</t>
  </si>
  <si>
    <t>06/10-06/16 | UGV(무인차량) AI 주행 및 통제</t>
  </si>
  <si>
    <t>2.2.1</t>
  </si>
  <si>
    <t>UGV 전용 AIController 클래스 생성 및 NavMesh 연동</t>
  </si>
  <si>
    <t>06/10-06/10 | UGV 전용 AIController 클래스 생성 및 NavMesh 연동</t>
  </si>
  <si>
    <t>2.2.2</t>
  </si>
  <si>
    <t>MoveToLocation 기반 경로 주행 로직 구현</t>
  </si>
  <si>
    <t>06/10-06/10 | MoveToLocation 기반 경로 주행 로직 구현</t>
  </si>
  <si>
    <t>2.2.3</t>
  </si>
  <si>
    <t>UGV 동역학 파라미터(최대 속도/회전 반경) 적용</t>
  </si>
  <si>
    <t>06/11-06/11 | UGV 동역학 파라미터(최대 속도/회전 반경) 적용</t>
  </si>
  <si>
    <t>2.2.4</t>
  </si>
  <si>
    <t>도착 판정(반경 10m) 및 정지 시퀀스 구현</t>
  </si>
  <si>
    <t>06/11-06/11 | 도착 판정(반경 10m) 및 정지 시퀀스 구현</t>
  </si>
  <si>
    <t>2.2.5</t>
  </si>
  <si>
    <t>UGV 4면(전/후/좌/우) CCTV 렌더 타겟 시스템</t>
  </si>
  <si>
    <t>06/12-06/12 | UGV 4면(전/후/좌/우) CCTV 렌더 타겟 시스템</t>
  </si>
  <si>
    <t>2.2.6</t>
  </si>
  <si>
    <t>지형 고도 기반 UGV 위치 및 회전값(Pitch/Roll) 보정 로직</t>
  </si>
  <si>
    <t>06/12-06/12 | 지형 고도 기반 UGV 위치 및 회전값(Pitch/Roll) 보정 로직</t>
  </si>
  <si>
    <t>2.2.7</t>
  </si>
  <si>
    <t>주행 모드(대기/원격/비상) 전환 상태 머신(FSM) 구축</t>
  </si>
  <si>
    <t>06/15-06/15 | 주행 모드(대기/원격/비상) 전환 상태 머신(FSM) 구축</t>
  </si>
  <si>
    <t>2.2.8</t>
  </si>
  <si>
    <t>원격 제어 시 물리 기반 기동(Force/Torque) 적용</t>
  </si>
  <si>
    <t>06/15-06/15 | 원격 제어 시 물리 기반 기동(Force/Torque) 적용</t>
  </si>
  <si>
    <t>2.2.9</t>
  </si>
  <si>
    <t>장애물 감지 시 자동 정지(Emergency Stop) 기능</t>
  </si>
  <si>
    <t>06/16-06/16 | 장애물 감지 시 자동 정지(Emergency Stop) 기능</t>
  </si>
  <si>
    <t>2.2.10</t>
  </si>
  <si>
    <t>실시간 주행 경로(Line Batcher) 미니맵 투영</t>
  </si>
  <si>
    <t>06/16-06/16 | 실시간 주행 경로(Line Batcher) 미니맵 투영</t>
  </si>
  <si>
    <t>핵심 UI 프레임워크 및 위젯 연동</t>
  </si>
  <si>
    <t>06/17-07/22 | 핵심 UI 프레임워크 및 위젯 연동</t>
  </si>
  <si>
    <t>2.3.1</t>
  </si>
  <si>
    <t>자체방호 통제기 UI 메인 캔버스 제작</t>
  </si>
  <si>
    <t>06/17-06/17 | 자체방호 통제기 UI 메인 캔버스 제작</t>
  </si>
  <si>
    <t>2.3.2</t>
  </si>
  <si>
    <t>UGV 원격 통제기 UI 메인 캔버스 제작</t>
  </si>
  <si>
    <t>06/17-06/17 | UGV 원격 통제기 UI 메인 캔버스 제작</t>
  </si>
  <si>
    <t>2.3.3</t>
  </si>
  <si>
    <t>실시간 렌더 타겟 UI 위젯 매핑 (CCTV 4분할 화면)</t>
  </si>
  <si>
    <t>06/18-06/18 | 실시간 렌더 타겟 UI 위젯 매핑 (CCTV 4분할 화면)</t>
  </si>
  <si>
    <t>2.3.4</t>
  </si>
  <si>
    <t>동적 미니맵 시스템 (Top-Down 카메라 연동)</t>
  </si>
  <si>
    <t>06/18-06/18 | 동적 미니맵 시스템 (Top-Down 카메라 연동)</t>
  </si>
  <si>
    <t>2.3.5</t>
  </si>
  <si>
    <t>배터리/신호 세기/상태 인디케이터 바인딩 로직</t>
  </si>
  <si>
    <t>06/19-06/19 | 배터리/신호 세기/상태 인디케이터 바인딩 로직</t>
  </si>
  <si>
    <t>2.3.6</t>
  </si>
  <si>
    <t>시스템 알람(7초 깜빡임) 위젯 및 큐 관리</t>
  </si>
  <si>
    <t>06/19-06/19 | 시스템 알람(7초 깜빡임) 위젯 및 큐 관리</t>
  </si>
  <si>
    <t>2.3.7</t>
  </si>
  <si>
    <t>HUD 오버레이(방위/고도/거리) 시각화</t>
  </si>
  <si>
    <t>06/22-06/22 | HUD 오버레이(방위/고도/거리) 시각화</t>
  </si>
  <si>
    <t>2.3.8</t>
  </si>
  <si>
    <t>UI 입력 포커스 관리(조이스틱 ↔ 마우스)</t>
  </si>
  <si>
    <t>06/22-06/22 | UI 입력 포커스 관리(조이스틱 ↔ 마우스)</t>
  </si>
  <si>
    <t>2.3.9</t>
  </si>
  <si>
    <t>멀티 모니터 출력 및 해상도 대응 로직</t>
  </si>
  <si>
    <t>06/23-06/23 | 멀티 모니터 출력 및 해상도 대응 로직</t>
  </si>
  <si>
    <t>2.3.10</t>
  </si>
  <si>
    <t>한글/영문 다국어 처리 시스템</t>
  </si>
  <si>
    <t>06/23-06/23 | 한글/영문 다국어 처리 시스템</t>
  </si>
  <si>
    <t>2.3.11</t>
  </si>
  <si>
    <t>3.전투모사 및 시나리오 통합 Support</t>
  </si>
  <si>
    <t>06/24-07/22 | 3.전투모사 및 시나리오 통합 Support</t>
  </si>
  <si>
    <t>전투 모사 및 시나리오 통합</t>
  </si>
  <si>
    <t>황인성</t>
  </si>
  <si>
    <t>05/27-07/22 | 전투 모사 및 시나리오 통합</t>
  </si>
  <si>
    <t>RCWS 및 전투 시스템 구현</t>
  </si>
  <si>
    <t>05/27-06/09 | RCWS 및 전투 시스템 구현</t>
  </si>
  <si>
    <t>3.1.1</t>
  </si>
  <si>
    <t>RCWS Actor 클래스 및 Skeletal Mesh 컴포넌트 통합</t>
  </si>
  <si>
    <t>05/27-05/27 | RCWS Actor 클래스 및 Skeletal Mesh 컴포넌트 통합</t>
  </si>
  <si>
    <t>3.1.2</t>
  </si>
  <si>
    <t>포탑/총열 회전(Pan/Tilt) 로직 및 클램프 설정</t>
  </si>
  <si>
    <t>05/28-05/28 | 포탑/총열 회전(Pan/Tilt) 로직 및 클램프 설정</t>
  </si>
  <si>
    <t>3.1.3</t>
  </si>
  <si>
    <t>탄약 시스템(장전/잔탄 관리/발사 속도 제어)</t>
  </si>
  <si>
    <t>05/29-05/29 | 탄약 시스템(장전/잔탄 관리/발사 속도 제어)</t>
  </si>
  <si>
    <t>3.1.4</t>
  </si>
  <si>
    <t>Muzzle Flash 및 탄피 배출 나이아가라 이펙트 연동</t>
  </si>
  <si>
    <t>06/01-06/01 | Muzzle Flash 및 탄피 배출 나이아가라 이펙트 연동</t>
  </si>
  <si>
    <t>3.1.5</t>
  </si>
  <si>
    <t>Line Trace 기반 탄환 궤적 및 충돌 판정 구현</t>
  </si>
  <si>
    <t>06/02-06/02 | Line Trace 기반 탄환 궤적 및 충돌 판정 구현</t>
  </si>
  <si>
    <t>3.1.6 ⛱️</t>
  </si>
  <si>
    <t>적군/아군 피아식별 Bounding Box 드로잉 로직 (Red/Green)</t>
  </si>
  <si>
    <t>06/03-06/03 | 적군/아군 피아식별 Bounding Box 드로잉 로직 (Red/Green)</t>
  </si>
  <si>
    <t>3.1.7</t>
  </si>
  <si>
    <t>사거리 측정(Lidar 모사) 및 결과 UI 전시</t>
  </si>
  <si>
    <t>06/04-06/04 | 사거리 측정(Lidar 모사) 및 결과 UI 전시</t>
  </si>
  <si>
    <t>3.1.8</t>
  </si>
  <si>
    <t>EO(광학)/IR(열상) 카메라 필터 포스트 프로세스 구현</t>
  </si>
  <si>
    <t>06/05-06/05 | EO(광학)/IR(열상) 카메라 필터 포스트 프로세스 구현</t>
  </si>
  <si>
    <t>3.1.9</t>
  </si>
  <si>
    <t>사격 진동(Recoil) 및 카메라 흔들림 효과</t>
  </si>
  <si>
    <t>06/08-06/08 | 사격 진동(Recoil) 및 카메라 흔들림 효과</t>
  </si>
  <si>
    <t>3.1.10</t>
  </si>
  <si>
    <t>환경음 및 사격음(3D Spatial Audio) 믹싱</t>
  </si>
  <si>
    <t>06/09-06/09 | 환경음 및 사격음(3D Spatial Audio) 믹싱</t>
  </si>
  <si>
    <t>시나리오 #4-1 ~ #4-4 로직 통합</t>
  </si>
  <si>
    <t>06/10-06/23 | 시나리오 #4-1 ~ #4-4 로직 통합</t>
  </si>
  <si>
    <t>3.2.1</t>
  </si>
  <si>
    <t>외주 병력/장비 모델링 임포트 및 마스터 머티리얼 적용</t>
  </si>
  <si>
    <t>06/10-06/10 | 외주 병력/장비 모델링 임포트 및 마스터 머티리얼 적용</t>
  </si>
  <si>
    <t>3.2.2</t>
  </si>
  <si>
    <t>애니메이션 블루프린트(ABP) 및 상태 전이 로직 구축</t>
  </si>
  <si>
    <t>06/11-06/11 | 애니메이션 블루프린트(ABP) 및 상태 전이 로직 구축</t>
  </si>
  <si>
    <t>3.2.3</t>
  </si>
  <si>
    <t>#4-1: 시나리오 시작 및 적 위치 마커 생성 시퀀스</t>
  </si>
  <si>
    <t>06/12-06/12 | #4-1: 시나리오 시작 및 적 위치 마커 생성 시퀀스</t>
  </si>
  <si>
    <t>3.2.4</t>
  </si>
  <si>
    <t>#4-2: UAV 이륙 및 지정 좌표 자동 이동 트리거</t>
  </si>
  <si>
    <t>06/15-06/15 | #4-2: UAV 이륙 및 지정 좌표 자동 이동 트리거</t>
  </si>
  <si>
    <t>3.2.5</t>
  </si>
  <si>
    <t>#4-3: 적 낙하산 식별 시 시각 효과(BB 표시) 연동</t>
  </si>
  <si>
    <t>06/16-06/16 | #4-3: 적 낙하산 식별 시 시각 효과(BB 표시) 연동</t>
  </si>
  <si>
    <t>3.2.6</t>
  </si>
  <si>
    <t>#4-4: 수색 좌표 수신 및 UGV 자동 주행 활성화</t>
  </si>
  <si>
    <t>06/17-06/17 | #4-4: 수색 좌표 수신 및 UGV 자동 주행 활성화</t>
  </si>
  <si>
    <t>3.2.7</t>
  </si>
  <si>
    <t>시나리오 단계별 음성 안내(TTS) 트리거 시스템</t>
  </si>
  <si>
    <t>06/18-06/18 | 시나리오 단계별 음성 안내(TTS) 트리거 시스템</t>
  </si>
  <si>
    <t>3.2.8</t>
  </si>
  <si>
    <t>시퀀서(Sequencer)를 활용한 컷신 및 이벤트 연출</t>
  </si>
  <si>
    <t>06/19-06/19 | 시퀀서(Sequencer)를 활용한 컷신 및 이벤트 연출</t>
  </si>
  <si>
    <t>3.2.9</t>
  </si>
  <si>
    <t>시나리오 체크포인트 저장 및 로드 기능</t>
  </si>
  <si>
    <t>06/22-06/22 | 시나리오 체크포인트 저장 및 로드 기능</t>
  </si>
  <si>
    <t>3.2.10</t>
  </si>
  <si>
    <t>NPC 객체 스폰 풀(Pool) 시스템 구축</t>
  </si>
  <si>
    <t>06/23-06/23 | NPC 객체 스폰 풀(Pool) 시스템 구축</t>
  </si>
  <si>
    <t>시나리오 #4-5 ~ #4-8 로직 통합</t>
  </si>
  <si>
    <t>06/24-07/07 | 시나리오 #4-5 ~ #4-8 로직 통합</t>
  </si>
  <si>
    <t>3.3.1</t>
  </si>
  <si>
    <t>UGV 도착 판정 및 적 식별 Bounding Box 활성화</t>
  </si>
  <si>
    <t>06/24-06/24 | UGV 도착 판정 및 적 식별 Bounding Box 활성화</t>
  </si>
  <si>
    <t>3.3.2</t>
  </si>
  <si>
    <t>#4-6: 아군 매복(엄폐/엎드리기) 애니메이션 트리거</t>
  </si>
  <si>
    <t>06/25-06/25 | #4-6: 아군 매복(엄폐/엎드리기) 애니메이션 트리거</t>
  </si>
  <si>
    <t>3.3.3</t>
  </si>
  <si>
    <t>#4-7: UGV 원격 사격 및 적군 도주 AI 행동 트리거</t>
  </si>
  <si>
    <t>06/26-06/26 | #4-7: UGV 원격 사격 및 적군 도주 AI 행동 트리거</t>
  </si>
  <si>
    <t>3.3.4</t>
  </si>
  <si>
    <t>#4-8: 조이스틱 버튼 기반 제어권 전환(UAV ↔ RCWS) 최종 연동</t>
  </si>
  <si>
    <t>06/29-06/29 | #4-8: 조이스틱 버튼 기반 제어권 전환(UAV ↔ RCWS) 최종 연동</t>
  </si>
  <si>
    <t>3.3.5</t>
  </si>
  <si>
    <t>#4-8: 적 섬멸 판정 알고리즘 및 시나리오 종료 신호 송신</t>
  </si>
  <si>
    <t>06/30-06/30 | #4-8: 적 섬멸 판정 알고리즘 및 시나리오 종료 신호 송신</t>
  </si>
  <si>
    <t>3.3.6</t>
  </si>
  <si>
    <t>적 사망 애니메이션 동기화 및 래그돌(Ragdoll) 전환 로직</t>
  </si>
  <si>
    <t>07/01-07/01 | 적 사망 애니메이션 동기화 및 래그돌(Ragdoll) 전환 로직</t>
  </si>
  <si>
    <t>3.3.7</t>
  </si>
  <si>
    <t>시나리오 타임라인 추적 및 통계 데이터 생성</t>
  </si>
  <si>
    <t>07/02-07/02 | 시나리오 타임라인 추적 및 통계 데이터 생성</t>
  </si>
  <si>
    <t>3.3.8</t>
  </si>
  <si>
    <t>상황 발생 시 UI 메시지 우선순위 노출 로직</t>
  </si>
  <si>
    <t>07/03-07/03 | 상황 발생 시 UI 메시지 우선순위 노출 로직</t>
  </si>
  <si>
    <t>3.3.9</t>
  </si>
  <si>
    <t>리플레이(Replay) 시스템을 위한 주요 이벤트 기록</t>
  </si>
  <si>
    <t>07/06-07/06 | 리플레이(Replay) 시스템을 위한 주요 이벤트 기록</t>
  </si>
  <si>
    <t>3.3.10</t>
  </si>
  <si>
    <t>비상 정지 명령 시 모든 Actor 상태 동결 로직</t>
  </si>
  <si>
    <t>07/07-07/07 | 비상 정지 명령 시 모든 Actor 상태 동결 로직</t>
  </si>
  <si>
    <t>외부 연동 및 통합 테스트</t>
  </si>
  <si>
    <t>07/08-07/22 | 외부 연동 및 통합 테스트</t>
  </si>
  <si>
    <t>3.4.1</t>
  </si>
  <si>
    <t>LLM 연동 실시간 적 좌표 데이터 최종 정합성 검증</t>
  </si>
  <si>
    <t>07/08-07/08 | LLM 연동 실시간 적 좌표 데이터 최종 정합성 검증</t>
  </si>
  <si>
    <t>3.4.2</t>
  </si>
  <si>
    <t>외부 UDP 명령 ↔ 시나리오 트리거 매핑 테스트</t>
  </si>
  <si>
    <t>07/09-07/09 | 외부 UDP 명령 ↔ 시나리오 트리거 매핑 테스트</t>
  </si>
  <si>
    <t>3.4.3</t>
  </si>
  <si>
    <t>조이스틱 입력 지연 최적화 및 안정화</t>
  </si>
  <si>
    <t>07/10-07/10 | 조이스틱 입력 지연 최적화 및 안정화</t>
  </si>
  <si>
    <t>3.4.4</t>
  </si>
  <si>
    <t>실시간 카메라 영상 스트리밍(외부 전송용) 프로토콜 검증</t>
  </si>
  <si>
    <t>07/13-07/13 | 실시간 카메라 영상 스트리밍(외부 전송용) 프로토콜 검증</t>
  </si>
  <si>
    <t>3.4.5</t>
  </si>
  <si>
    <t>다중 접속(UAV 통제/UGV 통제) 간 데이터 동기화 확인</t>
  </si>
  <si>
    <t>07/14-07/14 | 다중 접속(UAV 통제/UGV 통제) 간 데이터 동기화 확인</t>
  </si>
  <si>
    <t>3.4.6</t>
  </si>
  <si>
    <t>패킷 유실 시 데이터 보간(Interpolation) 로직 적용</t>
  </si>
  <si>
    <t>07/15-07/15 | 패킷 유실 시 데이터 보간(Interpolation) 로직 적용</t>
  </si>
  <si>
    <t>3.4.7</t>
  </si>
  <si>
    <t>시나리오 종료 후 결과 데이터 리포트 생성 기능</t>
  </si>
  <si>
    <t>07/16-07/16 | 시나리오 종료 후 결과 데이터 리포트 생성 기능</t>
  </si>
  <si>
    <t>3.4.8</t>
  </si>
  <si>
    <t>외부 기기(팔란티어 TITAN 등) 프로토콜 최종 매칭</t>
  </si>
  <si>
    <t>07/20-07/20 | 외부 기기(팔란티어 TITAN 등) 프로토콜 최종 매칭</t>
  </si>
  <si>
    <t>3.4.9</t>
  </si>
  <si>
    <t>시스템 복구(Reset) 및 초기 상태 복원 검증</t>
  </si>
  <si>
    <t>07/21-07/21 | 시스템 복구(Reset) 및 초기 상태 복원 검증</t>
  </si>
  <si>
    <t>3.4.10</t>
  </si>
  <si>
    <t>통합 연동 문서화 및 인터페이스 정리</t>
  </si>
  <si>
    <t>07/22-07/22 | 통합 연동 문서화 및 인터페이스 정리</t>
  </si>
  <si>
    <t>최적화 및 최종 배포</t>
  </si>
  <si>
    <t>김준영, 황인성</t>
  </si>
  <si>
    <t>07/23-07/31 | 최적화 및 최종 배포</t>
  </si>
  <si>
    <t>성능 최적화 및 디버깅</t>
  </si>
  <si>
    <t>07/23-07/28 | 성능 최적화 및 디버깅</t>
  </si>
  <si>
    <t>4.1.1</t>
  </si>
  <si>
    <t>렌더 타겟(CCTV) 해상도 최적화 및 프레임 드랍 방지</t>
  </si>
  <si>
    <t>07/23-07/23 | 렌더 타겟(CCTV) 해상도 최적화 및 프레임 드랍 방지</t>
  </si>
  <si>
    <t>4.1.2</t>
  </si>
  <si>
    <t>C++ 프로파일러를 통한 병목 코드(Tick 함수 등) 개선</t>
  </si>
  <si>
    <t>07/23-07/23 | C++ 프로파일러를 통한 병목 코드(Tick 함수 등) 개선</t>
  </si>
  <si>
    <t>4.1.3</t>
  </si>
  <si>
    <t>NavMesh 계산 부하 및 가시성(Culling) 최적화</t>
  </si>
  <si>
    <t>07/24-07/24 | NavMesh 계산 부하 및 가시성(Culling) 최적화</t>
  </si>
  <si>
    <t>4.1.4</t>
  </si>
  <si>
    <t>외주 에셋(LOD) 적용 및 텍스처 스트리밍 최적화</t>
  </si>
  <si>
    <t>07/24-07/24 | 외주 에셋(LOD) 적용 및 텍스처 스트리밍 최적화</t>
  </si>
  <si>
    <t>4.1.5</t>
  </si>
  <si>
    <t>메모리 누수 점검 (소켓 해제, 포인터 관리)</t>
  </si>
  <si>
    <t>07/27-07/27 | 메모리 누수 점검 (소켓 해제, 포인터 관리)</t>
  </si>
  <si>
    <t>4.1.6</t>
  </si>
  <si>
    <t>시나리오 예외 케이스(조이스틱 연결 해제 등) 대응 로직 점검</t>
  </si>
  <si>
    <t>07/27-07/27 | 시나리오 예외 케이스(조이스틱 연결 해제 등) 대응 로직 점검</t>
  </si>
  <si>
    <t>4.1.7</t>
  </si>
  <si>
    <t>셰이더 컴파일 최적화 및 런타임 성능 안정화</t>
  </si>
  <si>
    <t>07/28-07/28 | 셰이더 컴파일 최적화 및 런타임 성능 안정화</t>
  </si>
  <si>
    <t>4.1.8</t>
  </si>
  <si>
    <t>UI 위젯 렌더링 부하 최적화 (Invalidation Box 적용)</t>
  </si>
  <si>
    <t>07/28-07/28 | UI 위젯 렌더링 부하 최적화 (Invalidation Box 적용)</t>
  </si>
  <si>
    <t>최종 빌드 및 완료</t>
  </si>
  <si>
    <t>07/29-07/31 | 최종 빌드 및 완료</t>
  </si>
  <si>
    <t>4.2.1</t>
  </si>
  <si>
    <t>전 시나리오(#4-1 ~ #4-8) 풀 시퀀스 반복 테스트</t>
  </si>
  <si>
    <t>07/29-07/29 | 전 시나리오(#4-1 ~ #4-8) 풀 시퀀스 반복 테스트</t>
  </si>
  <si>
    <t>4.2.2</t>
  </si>
  <si>
    <t>최종 실행 파일(Shipping Build) 생성 및 배포</t>
  </si>
  <si>
    <t>07/29-07/29 | 최종 실행 파일(Shipping Build) 생성 및 배포</t>
  </si>
  <si>
    <t>4.2.3</t>
  </si>
  <si>
    <t>사용자 수락 테스트(UAT) 및 수정 사항 반영</t>
  </si>
  <si>
    <t>07/30-07/30 | 사용자 수락 테스트(UAT) 및 수정 사항 반영</t>
  </si>
  <si>
    <t>4.2.4</t>
  </si>
  <si>
    <t>최종 기술 매뉴얼(API/통신 규격) 작성</t>
  </si>
  <si>
    <t>07/30-07/30 | 최종 기술 매뉴얼(API/통신 규격) 작성</t>
  </si>
  <si>
    <t>4.2.5</t>
  </si>
  <si>
    <t>프로젝트 아카이브 및 개발 완료 보고</t>
  </si>
  <si>
    <t>07/31-07/31 | 프로젝트 아카이브 및 개발 완료 보고</t>
  </si>
  <si>
    <t>휴무일 달력</t>
  </si>
  <si>
    <t>* 프로젝트 휴무일을 지정합니다.</t>
  </si>
  <si>
    <t>* 휴무일을 직접 입력하거나 대한민국 공휴일 정보를 서버에서 가져올 수 있습니다.</t>
  </si>
  <si>
    <t>* 서버에서 공휴일 정보 가져오기: 메뉴에서 XGantt for Google Sheets™ &gt; 옵션 &gt; 달력(Calendar) &gt; 최신 공휴일 데이터 서버에서 가져오기(전년/금년/내년 3년의 휴무일을 가져옴)</t>
  </si>
  <si>
    <t>휴일명</t>
  </si>
  <si>
    <t>날짜</t>
  </si>
  <si>
    <t>2025년 신정</t>
  </si>
  <si>
    <t>2025년 임시공휴일</t>
  </si>
  <si>
    <t>2025년 설 연휴</t>
  </si>
  <si>
    <t>2025년 설날</t>
  </si>
  <si>
    <t>2025년 대체공휴일(삼일절)</t>
  </si>
  <si>
    <t>2025년 어린이날</t>
  </si>
  <si>
    <t>2025년 대체공휴일</t>
  </si>
  <si>
    <t>21대 대통령 선거일</t>
  </si>
  <si>
    <t>2025년 현충일</t>
  </si>
  <si>
    <t>2025년 광복절</t>
  </si>
  <si>
    <t>2025년 개천절</t>
  </si>
  <si>
    <t>2025년 추석</t>
  </si>
  <si>
    <t>2025년 추석 연휴</t>
  </si>
  <si>
    <t>2025년 대체공휴일(추석)</t>
  </si>
  <si>
    <t>2025년 한글날</t>
  </si>
  <si>
    <t>2025년 성탄절</t>
  </si>
  <si>
    <t>2026년 신정</t>
  </si>
  <si>
    <t>2026년 설 연휴</t>
  </si>
  <si>
    <t>2026년 설날</t>
  </si>
  <si>
    <t>2026년 대체공휴일(삼일절)</t>
  </si>
  <si>
    <t>2026년 어린이날</t>
  </si>
  <si>
    <t>2026년 대체공휴일(부처님오신날)</t>
  </si>
  <si>
    <t>2026년 전국동시지방선거</t>
  </si>
  <si>
    <t>2026년 제헌절</t>
  </si>
  <si>
    <t>2026년 대체공휴일(광복절)</t>
  </si>
  <si>
    <t>2026년 추석 연휴</t>
  </si>
  <si>
    <t>2026년 추석</t>
  </si>
  <si>
    <t>2026년 대체공휴일(개천절)</t>
  </si>
  <si>
    <t>2026년 한글날</t>
  </si>
  <si>
    <t>2026년 성탄절</t>
  </si>
  <si>
    <t>2027년 신정</t>
  </si>
  <si>
    <t>2027년 설 연휴</t>
  </si>
  <si>
    <t>2027년 대체공휴일(설날)</t>
  </si>
  <si>
    <t>2027년 삼일절</t>
  </si>
  <si>
    <t>2027년 어린이날</t>
  </si>
  <si>
    <t>2027년 부처님오신날</t>
  </si>
  <si>
    <t>2027년 대체공휴일(광복절)</t>
  </si>
  <si>
    <t>2027년 추석연휴</t>
  </si>
  <si>
    <t>2027년 추석</t>
  </si>
  <si>
    <t>2027년 대체공휴일(개천절)</t>
  </si>
  <si>
    <t>2027년 대체공휴일(한글날)</t>
  </si>
  <si>
    <t>2027년 대체공휴일(성탄절)</t>
  </si>
  <si>
    <t>프로젝트 진척률</t>
  </si>
  <si>
    <t>* 프로젝트 작업량과 진척률을 보여줍니다.</t>
  </si>
  <si>
    <t>* "스케줄업데이트" 버튼 클릭 시 아래 항목이 자동계산됩니다.</t>
  </si>
  <si>
    <t>프로젝트 전체 작업량</t>
  </si>
  <si>
    <t>Man/Day</t>
  </si>
  <si>
    <t>프로젝트 전체의 작업량을 Man/Day로 표시, 자원수를 적용한 값</t>
  </si>
  <si>
    <t>현재일까지 계획된 작업량</t>
  </si>
  <si>
    <t>프로젝트 시작일부터 현재일까지의 작업량(현재 날짜까지 진행되었어야 할 작업량) (PV)</t>
  </si>
  <si>
    <t>실적기성</t>
  </si>
  <si>
    <t>실적기성(프로젝트 전체 작업량 x 실적 진척률) (EV)</t>
  </si>
  <si>
    <t>실제 투입된 작업량</t>
  </si>
  <si>
    <t>일정변경 관리할 때 현재까지 실제로 투입된 작업량을 표시함 (AC)</t>
  </si>
  <si>
    <t>계획 진척률(A)</t>
  </si>
  <si>
    <t>현재날짜까지 계획된 진척률, WBS의 '계획진척률'의 전체 합계 진척률을 표시</t>
  </si>
  <si>
    <t>실적 진척률(B)</t>
  </si>
  <si>
    <t>현재날짜까지 실제로 진행된 진척률, WBS의 '실적진척률'의 전체 합계 진척률을 표시</t>
  </si>
  <si>
    <t>차이(B-A)</t>
  </si>
  <si>
    <t>양수이면 계획보다 빨리 진행, 음수이면 지연</t>
  </si>
</sst>
</file>

<file path=xl/styles.xml><?xml version="1.0" encoding="utf-8"?>
<styleSheet xmlns="http://schemas.openxmlformats.org/spreadsheetml/2006/main">
  <numFmts count="1">
    <numFmt numFmtId="164" formatCode="yyyy\-mm\-dd"/>
  </numFmts>
  <fonts count="37">
    <font>
      <sz val="10.0"/>
      <name val="Arial"/>
      <scheme val="minor"/>
      <color rgb="FF000000"/>
    </font>
    <font>
      <b/>
      <sz val="14.0"/>
      <name val="Arial"/>
      <scheme val="minor"/>
      <color rgb="FF4A86E8"/>
    </font>
    <font>
      <sz val="11.0"/>
      <name val="Arial"/>
      <scheme val="minor"/>
      <color theme="1"/>
    </font>
    <font>
      <sz val="11.0"/>
      <name val="Arial"/>
      <scheme val="minor"/>
      <color rgb="FF4285F4"/>
    </font>
    <font>
      <b/>
      <u/>
      <sz val="14.0"/>
      <name val="맑은 고딕"/>
      <color rgb="FF34A853"/>
    </font>
    <font>
      <sz val="10.0"/>
      <name val="Arial"/>
      <scheme val="minor"/>
      <color rgb="FF333333"/>
    </font>
    <font>
      <sz val="11.0"/>
      <name val="Arial"/>
      <scheme val="minor"/>
      <color rgb="FF34A853"/>
    </font>
    <font>
      <i/>
      <sz val="9.0"/>
      <name val="맑은 고딕"/>
      <color rgb="FFFFFFFF"/>
    </font>
    <font>
      <sz val="11.0"/>
      <name val="맑은 고딕"/>
      <color rgb="FF000000"/>
    </font>
    <font>
      <i/>
      <sz val="8.0"/>
      <name val="Malgun Gothic"/>
      <color theme="1"/>
    </font>
    <font>
      <b/>
      <sz val="12.0"/>
      <name val="&quot;Google Sans Text&quot;"/>
      <color rgb="FF303030"/>
    </font>
    <font>
      <sz val="12.0"/>
      <name val="&quot;Google Sans Text&quot;"/>
      <color rgb="FF303030"/>
    </font>
    <font>
      <sz val="12.0"/>
      <name val="&quot;Google Sans Text&quot;"/>
      <color theme="1"/>
    </font>
    <font>
      <sz val="11.0"/>
      <name val="&quot;Google Sans Text&quot;"/>
      <color rgb="FF303030"/>
    </font>
    <font>
      <b/>
      <sz val="13.0"/>
      <name val="Arial"/>
      <scheme val="minor"/>
      <color rgb="FF4A86E8"/>
    </font>
    <font>
      <b/>
      <sz val="11.0"/>
      <name val="Arial"/>
      <scheme val="minor"/>
      <color theme="1"/>
    </font>
    <font>
      <b/>
      <i/>
      <sz val="8.0"/>
      <name val="Malgun Gothic"/>
      <color rgb="FFFF0000"/>
    </font>
    <font>
      <i/>
      <sz val="8.0"/>
      <name val="Malgun Gothic"/>
      <color rgb="FF000000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  <font>
      <sz val="10.0"/>
      <name val="돋움"/>
      <color rgb="FF000000"/>
    </font>
    <font>
      <sz val="10.0"/>
      <name val="돋움_x0000_"/>
      <color rgb="FF000000"/>
    </font>
  </fonts>
  <fills count="40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3399FF"/>
        <bgColor rgb="FF3399FF"/>
      </patternFill>
    </fill>
    <fill>
      <patternFill patternType="solid">
        <fgColor rgb="FFF3F3F3"/>
        <bgColor rgb="FFF3F3F3"/>
      </patternFill>
    </fill>
    <fill>
      <patternFill patternType="solid">
        <fgColor rgb="FFFFEB3B"/>
        <bgColor rgb="FFFFEB3B"/>
      </patternFill>
    </fill>
    <fill>
      <patternFill patternType="solid">
        <fgColor rgb="FFF44336"/>
        <bgColor rgb="FFF4433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8">
    <border/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FF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8" fillId="0" borderId="0" applyAlignment="0" applyBorder="0" applyFill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  <xf numFmtId="0" fontId="0" fillId="9" borderId="9" applyAlignment="0" applyFont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  <xf numFmtId="0" fontId="22" fillId="0" borderId="10" applyAlignment="0" applyFill="0" applyNumberFormat="0" applyProtection="0">
      <alignment vertical="center"/>
    </xf>
    <xf numFmtId="0" fontId="23" fillId="0" borderId="11" applyAlignment="0" applyFill="0" applyNumberFormat="0" applyProtection="0">
      <alignment vertical="center"/>
    </xf>
    <xf numFmtId="0" fontId="24" fillId="0" borderId="12" applyAlignment="0" applyFill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  <xf numFmtId="0" fontId="25" fillId="10" borderId="13" applyAlignment="0" applyNumberFormat="0" applyProtection="0">
      <alignment vertical="center"/>
    </xf>
    <xf numFmtId="0" fontId="26" fillId="11" borderId="14" applyAlignment="0" applyNumberFormat="0" applyProtection="0">
      <alignment vertical="center"/>
    </xf>
    <xf numFmtId="0" fontId="27" fillId="11" borderId="13" applyAlignment="0" applyNumberFormat="0" applyProtection="0">
      <alignment vertical="center"/>
    </xf>
    <xf numFmtId="0" fontId="28" fillId="12" borderId="15" applyAlignment="0" applyNumberFormat="0" applyProtection="0">
      <alignment vertical="center"/>
    </xf>
    <xf numFmtId="0" fontId="29" fillId="0" borderId="16" applyAlignment="0" applyFill="0" applyNumberFormat="0" applyProtection="0">
      <alignment vertical="center"/>
    </xf>
    <xf numFmtId="0" fontId="15" fillId="0" borderId="17" applyAlignment="0" applyFill="0" applyNumberFormat="0" applyProtection="0">
      <alignment vertical="center"/>
    </xf>
    <xf numFmtId="0" fontId="30" fillId="13" borderId="0" applyAlignment="0" applyBorder="0" applyNumberFormat="0" applyProtection="0">
      <alignment vertical="center"/>
    </xf>
    <xf numFmtId="0" fontId="31" fillId="14" borderId="0" applyAlignment="0" applyBorder="0" applyNumberFormat="0" applyProtection="0">
      <alignment vertical="center"/>
    </xf>
    <xf numFmtId="0" fontId="32" fillId="15" borderId="0" applyAlignment="0" applyBorder="0" applyNumberFormat="0" applyProtection="0">
      <alignment vertical="center"/>
    </xf>
    <xf numFmtId="0" fontId="33" fillId="16" borderId="0" applyAlignment="0" applyBorder="0" applyNumberFormat="0" applyProtection="0">
      <alignment vertical="center"/>
    </xf>
    <xf numFmtId="0" fontId="2" fillId="17" borderId="0" applyAlignment="0" applyBorder="0" applyNumberFormat="0" applyProtection="0">
      <alignment vertical="center"/>
    </xf>
    <xf numFmtId="0" fontId="2" fillId="18" borderId="0" applyAlignment="0" applyBorder="0" applyNumberFormat="0" applyProtection="0">
      <alignment vertical="center"/>
    </xf>
    <xf numFmtId="0" fontId="33" fillId="19" borderId="0" applyAlignment="0" applyBorder="0" applyNumberFormat="0" applyProtection="0">
      <alignment vertical="center"/>
    </xf>
    <xf numFmtId="0" fontId="33" fillId="20" borderId="0" applyAlignment="0" applyBorder="0" applyNumberFormat="0" applyProtection="0">
      <alignment vertical="center"/>
    </xf>
    <xf numFmtId="0" fontId="2" fillId="21" borderId="0" applyAlignment="0" applyBorder="0" applyNumberFormat="0" applyProtection="0">
      <alignment vertical="center"/>
    </xf>
    <xf numFmtId="0" fontId="2" fillId="22" borderId="0" applyAlignment="0" applyBorder="0" applyNumberFormat="0" applyProtection="0">
      <alignment vertical="center"/>
    </xf>
    <xf numFmtId="0" fontId="33" fillId="23" borderId="0" applyAlignment="0" applyBorder="0" applyNumberFormat="0" applyProtection="0">
      <alignment vertical="center"/>
    </xf>
    <xf numFmtId="0" fontId="33" fillId="24" borderId="0" applyAlignment="0" applyBorder="0" applyNumberFormat="0" applyProtection="0">
      <alignment vertical="center"/>
    </xf>
    <xf numFmtId="0" fontId="2" fillId="25" borderId="0" applyAlignment="0" applyBorder="0" applyNumberFormat="0" applyProtection="0">
      <alignment vertical="center"/>
    </xf>
    <xf numFmtId="0" fontId="2" fillId="26" borderId="0" applyAlignment="0" applyBorder="0" applyNumberFormat="0" applyProtection="0">
      <alignment vertical="center"/>
    </xf>
    <xf numFmtId="0" fontId="33" fillId="27" borderId="0" applyAlignment="0" applyBorder="0" applyNumberFormat="0" applyProtection="0">
      <alignment vertical="center"/>
    </xf>
    <xf numFmtId="0" fontId="33" fillId="28" borderId="0" applyAlignment="0" applyBorder="0" applyNumberFormat="0" applyProtection="0">
      <alignment vertical="center"/>
    </xf>
    <xf numFmtId="0" fontId="2" fillId="29" borderId="0" applyAlignment="0" applyBorder="0" applyNumberFormat="0" applyProtection="0">
      <alignment vertical="center"/>
    </xf>
    <xf numFmtId="0" fontId="2" fillId="30" borderId="0" applyAlignment="0" applyBorder="0" applyNumberFormat="0" applyProtection="0">
      <alignment vertical="center"/>
    </xf>
    <xf numFmtId="0" fontId="33" fillId="31" borderId="0" applyAlignment="0" applyBorder="0" applyNumberFormat="0" applyProtection="0">
      <alignment vertical="center"/>
    </xf>
    <xf numFmtId="0" fontId="33" fillId="32" borderId="0" applyAlignment="0" applyBorder="0" applyNumberFormat="0" applyProtection="0">
      <alignment vertical="center"/>
    </xf>
    <xf numFmtId="0" fontId="2" fillId="33" borderId="0" applyAlignment="0" applyBorder="0" applyNumberFormat="0" applyProtection="0">
      <alignment vertical="center"/>
    </xf>
    <xf numFmtId="0" fontId="2" fillId="34" borderId="0" applyAlignment="0" applyBorder="0" applyNumberFormat="0" applyProtection="0">
      <alignment vertical="center"/>
    </xf>
    <xf numFmtId="0" fontId="33" fillId="35" borderId="0" applyAlignment="0" applyBorder="0" applyNumberFormat="0" applyProtection="0">
      <alignment vertical="center"/>
    </xf>
    <xf numFmtId="0" fontId="33" fillId="36" borderId="0" applyAlignment="0" applyBorder="0" applyNumberFormat="0" applyProtection="0">
      <alignment vertical="center"/>
    </xf>
    <xf numFmtId="0" fontId="2" fillId="37" borderId="0" applyAlignment="0" applyBorder="0" applyNumberFormat="0" applyProtection="0">
      <alignment vertical="center"/>
    </xf>
    <xf numFmtId="0" fontId="2" fillId="38" borderId="0" applyAlignment="0" applyBorder="0" applyNumberFormat="0" applyProtection="0">
      <alignment vertical="center"/>
    </xf>
    <xf numFmtId="0" fontId="33" fillId="39" borderId="0" applyAlignment="0" applyBorder="0" applyNumberFormat="0" applyProtection="0">
      <alignment vertical="center"/>
    </xf>
    <xf numFmtId="0" fontId="34" fillId="0" borderId="0" applyAlignment="0" applyBorder="0" applyFill="0" applyNumberFormat="0" applyProtection="0">
      <alignment vertical="center"/>
    </xf>
  </cellStyleXfs>
  <cellXfs count="50">
    <xf numFmtId="0" fontId="0" fillId="0" borderId="0" xfId="0" applyAlignment="1">
      <alignment wrapText="1"/>
    </xf>
    <xf numFmtId="0" fontId="1" fillId="0" borderId="0" xfId="0" applyAlignment="1"/>
    <xf numFmtId="164" fontId="2" fillId="0" borderId="0" xfId="0" applyNumberFormat="1"/>
    <xf numFmtId="10" fontId="2" fillId="0" borderId="0" xfId="0" applyNumberFormat="1"/>
    <xf numFmtId="0" fontId="3" fillId="0" borderId="0" xfId="0" applyAlignment="1">
      <alignment horizontal="right"/>
    </xf>
    <xf numFmtId="0" fontId="4" fillId="0" borderId="0" xfId="0" applyAlignment="1"/>
    <xf numFmtId="0" fontId="5" fillId="0" borderId="0" xfId="0" applyAlignment="1"/>
    <xf numFmtId="0" fontId="6" fillId="0" borderId="0" xfId="0" applyAlignment="1"/>
    <xf numFmtId="0" fontId="7" fillId="2" borderId="1" xfId="0" applyFill="1" applyBorder="1" applyAlignment="1">
      <alignment horizontal="center" vertical="center" wrapText="1"/>
    </xf>
    <xf numFmtId="0" fontId="7" fillId="3" borderId="2" xfId="0" applyFill="1" applyBorder="1" applyAlignment="1">
      <alignment horizontal="center" vertical="center" wrapText="1"/>
    </xf>
    <xf numFmtId="0" fontId="8" fillId="0" borderId="3" xfId="0" applyBorder="1"/>
    <xf numFmtId="0" fontId="8" fillId="0" borderId="4" xfId="0" applyBorder="1"/>
    <xf numFmtId="0" fontId="7" fillId="3" borderId="1" xfId="0" applyBorder="1" applyAlignment="1">
      <alignment horizontal="center" vertical="center" wrapText="1"/>
    </xf>
    <xf numFmtId="164" fontId="7" fillId="3" borderId="1" xfId="0" applyNumberFormat="1" applyBorder="1" applyAlignment="1">
      <alignment horizontal="center" vertical="center" wrapText="1"/>
    </xf>
    <xf numFmtId="164" fontId="7" fillId="3" borderId="5" xfId="0" applyNumberFormat="1" applyBorder="1" applyAlignment="1">
      <alignment horizontal="center" vertical="center" wrapText="1"/>
    </xf>
    <xf numFmtId="0" fontId="7" fillId="2" borderId="5" xfId="0" applyBorder="1" applyAlignment="1">
      <alignment horizontal="center" vertical="center" wrapText="1"/>
    </xf>
    <xf numFmtId="10" fontId="7" fillId="2" borderId="1" xfId="0" applyNumberFormat="1" applyBorder="1" applyAlignment="1">
      <alignment horizontal="center" vertical="center" wrapText="1"/>
    </xf>
    <xf numFmtId="10" fontId="7" fillId="3" borderId="1" xfId="0" applyNumberFormat="1" applyBorder="1" applyAlignment="1">
      <alignment horizontal="center" vertical="center" wrapText="1"/>
    </xf>
    <xf numFmtId="0" fontId="7" fillId="2" borderId="6" xfId="0" applyBorder="1" applyAlignment="1">
      <alignment horizontal="center" vertical="center" wrapText="1"/>
    </xf>
    <xf numFmtId="0" fontId="8" fillId="0" borderId="7" xfId="0" applyBorder="1"/>
    <xf numFmtId="0" fontId="7" fillId="3" borderId="6" xfId="0" applyBorder="1" applyAlignment="1">
      <alignment horizontal="center" vertical="center" wrapText="1"/>
    </xf>
    <xf numFmtId="0" fontId="9" fillId="4" borderId="6" xfId="0" applyFill="1" applyBorder="1" applyAlignment="1">
      <alignment horizontal="left" vertical="center" wrapText="1"/>
    </xf>
    <xf numFmtId="0" fontId="2" fillId="4" borderId="0" xfId="0"/>
    <xf numFmtId="0" fontId="2" fillId="4" borderId="0" xfId="0" applyAlignment="1">
      <alignment horizontal="left"/>
    </xf>
    <xf numFmtId="0" fontId="10" fillId="4" borderId="0" xfId="0" applyAlignment="1"/>
    <xf numFmtId="164" fontId="2" fillId="4" borderId="0" xfId="0" applyNumberFormat="1" applyAlignment="1"/>
    <xf numFmtId="0" fontId="2" fillId="4" borderId="0" xfId="0" applyAlignment="1"/>
    <xf numFmtId="164" fontId="2" fillId="4" borderId="0" xfId="0" applyNumberFormat="1"/>
    <xf numFmtId="10" fontId="2" fillId="4" borderId="0" xfId="0" applyNumberFormat="1" applyAlignment="1"/>
    <xf numFmtId="10" fontId="2" fillId="5" borderId="0" xfId="0" applyNumberFormat="1" applyFill="1" applyAlignment="1"/>
    <xf numFmtId="10" fontId="2" fillId="6" borderId="0" xfId="0" applyNumberFormat="1" applyFill="1" applyAlignment="1"/>
    <xf numFmtId="0" fontId="2" fillId="7" borderId="0" xfId="0" applyFill="1"/>
    <xf numFmtId="0" fontId="2" fillId="7" borderId="0" xfId="0" applyAlignment="1">
      <alignment horizontal="left"/>
    </xf>
    <xf numFmtId="0" fontId="11" fillId="7" borderId="0" xfId="0" applyAlignment="1"/>
    <xf numFmtId="164" fontId="2" fillId="7" borderId="0" xfId="0" applyNumberFormat="1" applyAlignment="1"/>
    <xf numFmtId="0" fontId="2" fillId="7" borderId="0" xfId="0" applyAlignment="1"/>
    <xf numFmtId="164" fontId="2" fillId="7" borderId="0" xfId="0" applyNumberFormat="1"/>
    <xf numFmtId="10" fontId="2" fillId="7" borderId="0" xfId="0" applyNumberFormat="1" applyAlignment="1"/>
    <xf numFmtId="0" fontId="12" fillId="7" borderId="0" xfId="0" applyAlignment="1"/>
    <xf numFmtId="0" fontId="13" fillId="7" borderId="0" xfId="0" applyAlignment="1"/>
    <xf numFmtId="0" fontId="2" fillId="0" borderId="0" xfId="0" applyAlignment="1">
      <alignment horizontal="left"/>
    </xf>
    <xf numFmtId="0" fontId="14" fillId="0" borderId="0" xfId="0" applyAlignment="1"/>
    <xf numFmtId="0" fontId="2" fillId="0" borderId="0" xfId="0" applyAlignment="1"/>
    <xf numFmtId="0" fontId="15" fillId="4" borderId="0" xfId="0" applyAlignment="1"/>
    <xf numFmtId="164" fontId="15" fillId="4" borderId="0" xfId="0" applyNumberFormat="1" applyAlignment="1"/>
    <xf numFmtId="164" fontId="2" fillId="0" borderId="0" xfId="0" applyNumberFormat="1" applyAlignment="1"/>
    <xf numFmtId="0" fontId="15" fillId="0" borderId="0" xfId="0" applyAlignment="1">
      <alignment horizontal="right"/>
    </xf>
    <xf numFmtId="0" fontId="2" fillId="8" borderId="8" xfId="0" applyFill="1" applyBorder="1" applyAlignment="1"/>
    <xf numFmtId="10" fontId="2" fillId="8" borderId="8" xfId="0" applyNumberFormat="1" applyBorder="1" applyAlignment="1"/>
    <xf numFmtId="0" fontId="2" fillId="0" borderId="8" xfId="0" applyBorder="1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externalLink" Target="externalLinks/externalLink1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externalLinks/_rels/externalLink1.xml.rels><?xml version="1.0" encoding="UTF-8"?>
<Relationships xmlns="http://schemas.openxmlformats.org/package/2006/relationships"><Relationship Id="rId1" Type="http://schemas.openxmlformats.org/officeDocument/2006/relationships/externalLinkPath" Target="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hyperlink" Target="https://xlworks.net/xlgantt-4-google-sheets/" TargetMode="Externa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017"/>
  <sheetViews>
    <sheetView topLeftCell="B1" tabSelected="1" workbookViewId="0">
      <pane ySplit="4" topLeftCell="B5" activePane="bottomLeft" state="frozen"/>
      <selection activeCell="B1" sqref="B1"/>
      <selection pane="bottomLeft" activeCell="O26" sqref="O26"/>
    </sheetView>
  </sheetViews>
  <sheetFormatPr defaultColWidth="12.63000000" defaultRowHeight="15.750000" customHeight="1"/>
  <cols>
    <col min="1" max="1" width="12.57642828" hidden="1" customWidth="1" outlineLevel="0"/>
    <col min="2" max="2" width="9.43357168" customWidth="1" outlineLevel="0"/>
    <col min="3" max="4" width="3.00499998" customWidth="1" outlineLevel="0"/>
    <col min="5" max="5" width="64.14785658" customWidth="1" outlineLevel="0"/>
    <col min="6" max="11" width="3.00499998" customWidth="1" outlineLevel="0"/>
    <col min="12" max="12" width="3.86214290" customWidth="1" outlineLevel="0"/>
    <col min="13" max="13" width="3.71928583" customWidth="1" outlineLevel="0"/>
    <col min="14" max="14" width="15.43357168" customWidth="1" outlineLevel="0"/>
    <col min="15" max="15" width="15.86214243" customWidth="1" outlineLevel="0"/>
    <col min="16" max="19" width="7.00499998" customWidth="1" outlineLevel="0"/>
    <col min="20" max="21" width="9.43357168" hidden="1" customWidth="1" outlineLevel="0"/>
    <col min="22" max="23" width="8.29071413" hidden="1" customWidth="1" outlineLevel="0"/>
    <col min="24" max="24" width="11.14785753" customWidth="1" outlineLevel="0"/>
    <col min="25" max="25" width="10.71928583" customWidth="1" outlineLevel="0"/>
    <col min="26" max="26" width="9.71928583" customWidth="1" outlineLevel="0"/>
    <col min="27" max="27" width="7.57642875" customWidth="1" outlineLevel="0"/>
    <col min="28" max="28" width="40.14785658" customWidth="1" outlineLevel="0"/>
    <col min="29" max="29" width="63.29071317" customWidth="1" outlineLevel="0"/>
  </cols>
  <sheetData>
    <row r="1" spans="1:29" ht="20.250000">
      <c r="B1" s="1" t="s">
        <v>0</v>
      </c>
      <c r="N1" s="2"/>
      <c r="O1" s="2"/>
      <c r="T1" s="2"/>
      <c r="U1" s="2"/>
      <c r="Z1" s="3"/>
      <c r="AA1" s="4" t="s">
        <v>1</v>
      </c>
      <c r="AB1" s="5" t="s">
        <v>2</v>
      </c>
    </row>
    <row r="2" spans="1:29">
      <c r="B2" s="6" t="s">
        <v>3</v>
      </c>
      <c r="N2" s="2"/>
      <c r="O2" s="2"/>
      <c r="T2" s="2"/>
      <c r="U2" s="2"/>
      <c r="Z2" s="3"/>
      <c r="AA2" s="4" t="s">
        <v>4</v>
      </c>
      <c r="AB2" s="7" t="s">
        <v>5</v>
      </c>
    </row>
    <row r="3" spans="1:29" ht="13.500000" customHeight="1">
      <c r="A3" s="8" t="s">
        <v>6</v>
      </c>
      <c r="B3" s="8" t="s">
        <v>7</v>
      </c>
      <c r="C3" s="9" t="s">
        <v>8</v>
      </c>
      <c r="D3" s="10"/>
      <c r="E3" s="10"/>
      <c r="F3" s="10"/>
      <c r="G3" s="10"/>
      <c r="H3" s="10"/>
      <c r="I3" s="10"/>
      <c r="J3" s="10"/>
      <c r="K3" s="10"/>
      <c r="L3" s="11"/>
      <c r="M3" s="12" t="s">
        <v>9</v>
      </c>
      <c r="N3" s="13" t="s">
        <v>10</v>
      </c>
      <c r="O3" s="13" t="s">
        <v>11</v>
      </c>
      <c r="P3" s="8" t="s">
        <v>12</v>
      </c>
      <c r="Q3" s="8" t="s">
        <v>13</v>
      </c>
      <c r="R3" s="8" t="s">
        <v>14</v>
      </c>
      <c r="S3" s="8" t="s">
        <v>15</v>
      </c>
      <c r="T3" s="14" t="s">
        <v>16</v>
      </c>
      <c r="U3" s="14" t="s">
        <v>17</v>
      </c>
      <c r="V3" s="15" t="s">
        <v>18</v>
      </c>
      <c r="W3" s="15" t="s">
        <v>19</v>
      </c>
      <c r="X3" s="12" t="s">
        <v>20</v>
      </c>
      <c r="Y3" s="12" t="s">
        <v>21</v>
      </c>
      <c r="Z3" s="16" t="s">
        <v>22</v>
      </c>
      <c r="AA3" s="17" t="s">
        <v>23</v>
      </c>
      <c r="AB3" s="18" t="s">
        <v>24</v>
      </c>
      <c r="AC3" s="8" t="s">
        <v>25</v>
      </c>
    </row>
    <row r="4" spans="1:29" ht="13.500000" customHeight="1">
      <c r="A4" s="19"/>
      <c r="B4" s="19"/>
      <c r="C4" s="20" t="s">
        <v>26</v>
      </c>
      <c r="D4" s="20" t="s">
        <v>27</v>
      </c>
      <c r="E4" s="20" t="s">
        <v>28</v>
      </c>
      <c r="F4" s="20" t="s">
        <v>29</v>
      </c>
      <c r="G4" s="20" t="s">
        <v>30</v>
      </c>
      <c r="H4" s="20" t="s">
        <v>31</v>
      </c>
      <c r="I4" s="20" t="s">
        <v>32</v>
      </c>
      <c r="J4" s="20" t="s">
        <v>33</v>
      </c>
      <c r="K4" s="20" t="s">
        <v>34</v>
      </c>
      <c r="L4" s="20" t="s">
        <v>35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21" t="s">
        <v>36</v>
      </c>
      <c r="AC4" s="19"/>
    </row>
    <row r="5" spans="1:29">
      <c r="A5" s="22"/>
      <c r="B5" s="23">
        <v>1</v>
      </c>
      <c r="C5" s="24" t="s">
        <v>37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5">
        <v>46153</v>
      </c>
      <c r="O5" s="25">
        <v>46174</v>
      </c>
      <c r="P5" s="26">
        <v>30</v>
      </c>
      <c r="Q5" s="26">
        <v>1</v>
      </c>
      <c r="R5" s="26">
        <v>15</v>
      </c>
      <c r="S5" s="26">
        <v>1</v>
      </c>
      <c r="T5" s="27"/>
      <c r="U5" s="27"/>
      <c r="V5" s="22"/>
      <c r="W5" s="22"/>
      <c r="X5" s="26"/>
      <c r="Y5" s="22"/>
      <c r="Z5" s="28">
        <v>0.0333333333333333</v>
      </c>
      <c r="AA5" s="29">
        <v>0</v>
      </c>
      <c r="AB5" s="22" t="str">
        <f>IFERROR(__xludf.DUMMYFUNCTION("LET(
  _PS, INT(DATE(2026,5,11)), 
  _PE, INT(DATE(2026,7,31)), 
  _TS, INT(N5), 
  _TE, INT(O5), 
  _Ref, INT(today()), 
  _Act, AA5,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5" s="26" t="s">
        <v>39</v>
      </c>
    </row>
    <row r="6" spans="1:29">
      <c r="A6" s="22"/>
      <c r="B6" s="23">
        <v>1.1</v>
      </c>
      <c r="C6" s="22"/>
      <c r="D6" s="24" t="s">
        <v>40</v>
      </c>
      <c r="E6" s="22"/>
      <c r="F6" s="22"/>
      <c r="G6" s="22"/>
      <c r="H6" s="22"/>
      <c r="I6" s="22"/>
      <c r="J6" s="22"/>
      <c r="K6" s="22"/>
      <c r="L6" s="22"/>
      <c r="M6" s="22"/>
      <c r="N6" s="25">
        <v>46153</v>
      </c>
      <c r="O6" s="25">
        <v>46162</v>
      </c>
      <c r="P6" s="26">
        <v>10</v>
      </c>
      <c r="Q6" s="26">
        <v>1</v>
      </c>
      <c r="R6" s="26">
        <v>8</v>
      </c>
      <c r="S6" s="26">
        <v>1</v>
      </c>
      <c r="T6" s="27"/>
      <c r="U6" s="27"/>
      <c r="V6" s="22"/>
      <c r="W6" s="22"/>
      <c r="X6" s="26"/>
      <c r="Y6" s="22"/>
      <c r="Z6" s="28">
        <v>0.1</v>
      </c>
      <c r="AA6" s="30">
        <v>0</v>
      </c>
      <c r="AB6" s="22" t="str">
        <f>IFERROR(__xludf.DUMMYFUNCTION("LET(
  _PS, INT(DATE(2026,5,11)), 
  _PE, INT(DATE(2026,7,31)), 
  _TS, INT(N6), 
  _TE, INT(O6), 
  _Ref, INT(today()), 
  _Act, AA6,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6" s="26" t="s">
        <v>41</v>
      </c>
    </row>
    <row r="7" spans="1:29">
      <c r="A7" s="31"/>
      <c r="B7" s="32" t="s">
        <v>42</v>
      </c>
      <c r="C7" s="31"/>
      <c r="D7" s="31"/>
      <c r="E7" s="33" t="s">
        <v>43</v>
      </c>
      <c r="F7" s="31"/>
      <c r="G7" s="31"/>
      <c r="H7" s="31"/>
      <c r="I7" s="31"/>
      <c r="J7" s="31"/>
      <c r="K7" s="31"/>
      <c r="L7" s="31"/>
      <c r="M7" s="31"/>
      <c r="N7" s="34">
        <v>46153</v>
      </c>
      <c r="O7" s="34">
        <v>46153</v>
      </c>
      <c r="P7" s="35">
        <v>1</v>
      </c>
      <c r="Q7" s="35">
        <v>1</v>
      </c>
      <c r="R7" s="35">
        <v>1</v>
      </c>
      <c r="S7" s="35">
        <v>1</v>
      </c>
      <c r="T7" s="36"/>
      <c r="U7" s="36"/>
      <c r="V7" s="31"/>
      <c r="W7" s="31"/>
      <c r="X7" s="35"/>
      <c r="Y7" s="31"/>
      <c r="Z7" s="37">
        <v>1</v>
      </c>
      <c r="AA7" s="30">
        <v>0</v>
      </c>
      <c r="AB7" s="31" t="str">
        <f>IFERROR(__xludf.DUMMYFUNCTION("LET(
  _PS, INT(DATE(2026,5,11)), 
  _PE, INT(DATE(2026,7,31)), 
  _TS, INT(N7), 
  _TE, INT(O7), 
  _Ref, INT(today()), 
  _Act, AA7,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7" s="35" t="s">
        <v>44</v>
      </c>
    </row>
    <row r="8" spans="1:29">
      <c r="A8" s="31"/>
      <c r="B8" s="32" t="s">
        <v>45</v>
      </c>
      <c r="C8" s="31"/>
      <c r="D8" s="31"/>
      <c r="E8" s="33" t="s">
        <v>46</v>
      </c>
      <c r="F8" s="31"/>
      <c r="G8" s="31"/>
      <c r="H8" s="31"/>
      <c r="I8" s="31"/>
      <c r="J8" s="31"/>
      <c r="K8" s="31"/>
      <c r="L8" s="31"/>
      <c r="M8" s="31"/>
      <c r="N8" s="34">
        <v>46153</v>
      </c>
      <c r="O8" s="34">
        <v>46153</v>
      </c>
      <c r="P8" s="35">
        <v>1</v>
      </c>
      <c r="Q8" s="35">
        <v>0</v>
      </c>
      <c r="R8" s="35">
        <v>1</v>
      </c>
      <c r="S8" s="35">
        <v>0</v>
      </c>
      <c r="T8" s="36"/>
      <c r="U8" s="36"/>
      <c r="V8" s="31"/>
      <c r="W8" s="31"/>
      <c r="X8" s="35"/>
      <c r="Y8" s="31"/>
      <c r="Z8" s="37">
        <v>0</v>
      </c>
      <c r="AA8" s="37">
        <v>0</v>
      </c>
      <c r="AB8" s="31" t="str">
        <f>IFERROR(__xludf.DUMMYFUNCTION("LET(
  _PS, INT(DATE(2026,5,11)), 
  _PE, INT(DATE(2026,7,31)), 
  _TS, INT(N8), 
  _TE, INT(O8), 
  _Ref, INT(today()), 
  _Act, AA8,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8" s="35" t="s">
        <v>47</v>
      </c>
    </row>
    <row r="9" spans="1:29">
      <c r="A9" s="31"/>
      <c r="B9" s="32" t="s">
        <v>48</v>
      </c>
      <c r="C9" s="31"/>
      <c r="D9" s="31"/>
      <c r="E9" s="33" t="s">
        <v>49</v>
      </c>
      <c r="F9" s="31"/>
      <c r="G9" s="31"/>
      <c r="H9" s="31"/>
      <c r="I9" s="31"/>
      <c r="J9" s="31"/>
      <c r="K9" s="31"/>
      <c r="L9" s="31"/>
      <c r="M9" s="31"/>
      <c r="N9" s="34">
        <v>46154</v>
      </c>
      <c r="O9" s="34">
        <v>46154</v>
      </c>
      <c r="P9" s="35">
        <v>1</v>
      </c>
      <c r="Q9" s="35">
        <v>0</v>
      </c>
      <c r="R9" s="35">
        <v>1</v>
      </c>
      <c r="S9" s="35">
        <v>0</v>
      </c>
      <c r="T9" s="36"/>
      <c r="U9" s="36"/>
      <c r="V9" s="31"/>
      <c r="W9" s="31"/>
      <c r="X9" s="35"/>
      <c r="Y9" s="31"/>
      <c r="Z9" s="37">
        <v>0</v>
      </c>
      <c r="AA9" s="37">
        <v>0</v>
      </c>
      <c r="AB9" s="31" t="str">
        <f>IFERROR(__xludf.DUMMYFUNCTION("LET(
  _PS, INT(DATE(2026,5,11)), 
  _PE, INT(DATE(2026,7,31)), 
  _TS, INT(N9), 
  _TE, INT(O9), 
  _Ref, INT(today()), 
  _Act, AA9, 
  _Color, IF(_Act=1, ""#B7B7B7"", IF(_Ref&gt;_TE, ""red"", ""#5badff"")), 
  _Seg1, MAX(0, MIN(_TS-_PS, _Ref-_PS)), 
  _Se"&amp;"g2, MAX(0, MIN(_TE-_PS+1, _Ref-_PS) - MAX(0, _TS-_PS)), 
  _Seg3, MAX(0, (_Ref-_PS) - (_Seg1 + _Seg2)), 
  _Seg4, 0.48625, 
  _Seg5, MAX(0, _TS - _Ref - 1), 
  _Seg6, MAX(0, (_TE-_PS+1) - MAX(_TS-_PS, _Ref-_PS+1)), 
  SPARKLINE(
    {_Seg1, _Seg2, _Seg3, "&amp;"_Seg4, _Seg5, _Seg6}, 
    {""charttype"", ""bar""; ""color1"", ""white""; ""color2"", _Color; ""color3"", ""white""; ""color4"", ""red""; ""color5"", ""white""; ""color6"", _Color; ""empty"", ""zero""; ""max"", _PE-_PS+1}
  )
)"),"")</f>
        <v/>
      </c>
      <c r="AC9" s="35" t="s">
        <v>50</v>
      </c>
    </row>
    <row r="10" spans="1:29">
      <c r="A10" s="31"/>
      <c r="B10" s="32" t="s">
        <v>51</v>
      </c>
      <c r="C10" s="31"/>
      <c r="D10" s="31"/>
      <c r="E10" s="38" t="s">
        <v>52</v>
      </c>
      <c r="F10" s="31"/>
      <c r="G10" s="31"/>
      <c r="H10" s="31"/>
      <c r="I10" s="31"/>
      <c r="J10" s="31"/>
      <c r="K10" s="31"/>
      <c r="L10" s="31"/>
      <c r="M10" s="31"/>
      <c r="N10" s="34">
        <v>46154</v>
      </c>
      <c r="O10" s="34">
        <v>46154</v>
      </c>
      <c r="P10" s="35">
        <v>1</v>
      </c>
      <c r="Q10" s="35">
        <v>0</v>
      </c>
      <c r="R10" s="35">
        <v>1</v>
      </c>
      <c r="S10" s="35">
        <v>0</v>
      </c>
      <c r="T10" s="36"/>
      <c r="U10" s="36"/>
      <c r="V10" s="31"/>
      <c r="W10" s="31"/>
      <c r="X10" s="35"/>
      <c r="Y10" s="31"/>
      <c r="Z10" s="37">
        <v>0</v>
      </c>
      <c r="AA10" s="37">
        <v>0</v>
      </c>
      <c r="AB10" s="31" t="str">
        <f>IFERROR(__xludf.DUMMYFUNCTION("LET(
  _PS, INT(DATE(2026,5,11)), 
  _PE, INT(DATE(2026,7,31)), 
  _TS, INT(N10), 
  _TE, INT(O10), 
  _Ref, INT(today()), 
  _Act, AA10,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" s="35" t="s">
        <v>53</v>
      </c>
    </row>
    <row r="11" spans="1:29">
      <c r="A11" s="31"/>
      <c r="B11" s="32" t="s">
        <v>54</v>
      </c>
      <c r="C11" s="31"/>
      <c r="D11" s="31"/>
      <c r="E11" s="38" t="s">
        <v>55</v>
      </c>
      <c r="F11" s="31"/>
      <c r="G11" s="31"/>
      <c r="H11" s="31"/>
      <c r="I11" s="31"/>
      <c r="J11" s="31"/>
      <c r="K11" s="31"/>
      <c r="L11" s="31"/>
      <c r="M11" s="31"/>
      <c r="N11" s="34">
        <v>46155</v>
      </c>
      <c r="O11" s="34">
        <v>46155</v>
      </c>
      <c r="P11" s="35">
        <v>1</v>
      </c>
      <c r="Q11" s="35">
        <v>0</v>
      </c>
      <c r="R11" s="35">
        <v>1</v>
      </c>
      <c r="S11" s="35">
        <v>0</v>
      </c>
      <c r="T11" s="36"/>
      <c r="U11" s="36"/>
      <c r="V11" s="31"/>
      <c r="W11" s="31"/>
      <c r="X11" s="35"/>
      <c r="Y11" s="31"/>
      <c r="Z11" s="37">
        <v>0</v>
      </c>
      <c r="AA11" s="37">
        <v>0</v>
      </c>
      <c r="AB11" s="31" t="str">
        <f>IFERROR(__xludf.DUMMYFUNCTION("LET(
  _PS, INT(DATE(2026,5,11)), 
  _PE, INT(DATE(2026,7,31)), 
  _TS, INT(N11), 
  _TE, INT(O11), 
  _Ref, INT(today()), 
  _Act, AA11,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" s="35" t="s">
        <v>56</v>
      </c>
    </row>
    <row r="12" spans="1:29">
      <c r="A12" s="31"/>
      <c r="B12" s="32" t="s">
        <v>57</v>
      </c>
      <c r="C12" s="31"/>
      <c r="D12" s="31"/>
      <c r="E12" s="33" t="s">
        <v>58</v>
      </c>
      <c r="F12" s="31"/>
      <c r="G12" s="31"/>
      <c r="H12" s="31"/>
      <c r="I12" s="31"/>
      <c r="J12" s="31"/>
      <c r="K12" s="31"/>
      <c r="L12" s="31"/>
      <c r="M12" s="31"/>
      <c r="N12" s="34">
        <v>46155</v>
      </c>
      <c r="O12" s="34">
        <v>46155</v>
      </c>
      <c r="P12" s="35">
        <v>1</v>
      </c>
      <c r="Q12" s="35">
        <v>0</v>
      </c>
      <c r="R12" s="35">
        <v>1</v>
      </c>
      <c r="S12" s="35">
        <v>0</v>
      </c>
      <c r="T12" s="36"/>
      <c r="U12" s="36"/>
      <c r="V12" s="31"/>
      <c r="W12" s="31"/>
      <c r="X12" s="35"/>
      <c r="Y12" s="31"/>
      <c r="Z12" s="37">
        <v>0</v>
      </c>
      <c r="AA12" s="37">
        <v>0</v>
      </c>
      <c r="AB12" s="31" t="str">
        <f>IFERROR(__xludf.DUMMYFUNCTION("LET(
  _PS, INT(DATE(2026,5,11)), 
  _PE, INT(DATE(2026,7,31)), 
  _TS, INT(N12), 
  _TE, INT(O12), 
  _Ref, INT(today()), 
  _Act, AA12,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" s="35" t="s">
        <v>59</v>
      </c>
    </row>
    <row r="13" spans="1:29">
      <c r="A13" s="31"/>
      <c r="B13" s="32" t="s">
        <v>60</v>
      </c>
      <c r="C13" s="31"/>
      <c r="D13" s="31"/>
      <c r="E13" s="33" t="s">
        <v>61</v>
      </c>
      <c r="F13" s="31"/>
      <c r="G13" s="31"/>
      <c r="H13" s="31"/>
      <c r="I13" s="31"/>
      <c r="J13" s="31"/>
      <c r="K13" s="31"/>
      <c r="L13" s="31"/>
      <c r="M13" s="31"/>
      <c r="N13" s="34">
        <v>46156</v>
      </c>
      <c r="O13" s="34">
        <v>46156</v>
      </c>
      <c r="P13" s="35">
        <v>1</v>
      </c>
      <c r="Q13" s="35">
        <v>0</v>
      </c>
      <c r="R13" s="35">
        <v>1</v>
      </c>
      <c r="S13" s="35">
        <v>0</v>
      </c>
      <c r="T13" s="36"/>
      <c r="U13" s="36"/>
      <c r="V13" s="31"/>
      <c r="W13" s="31"/>
      <c r="X13" s="35"/>
      <c r="Y13" s="31"/>
      <c r="Z13" s="37">
        <v>0</v>
      </c>
      <c r="AA13" s="37">
        <v>0</v>
      </c>
      <c r="AB13" s="31" t="str">
        <f>IFERROR(__xludf.DUMMYFUNCTION("LET(
  _PS, INT(DATE(2026,5,11)), 
  _PE, INT(DATE(2026,7,31)), 
  _TS, INT(N13), 
  _TE, INT(O13), 
  _Ref, INT(today()), 
  _Act, AA13,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" s="35" t="s">
        <v>62</v>
      </c>
    </row>
    <row r="14" spans="1:29">
      <c r="A14" s="31"/>
      <c r="B14" s="32" t="s">
        <v>63</v>
      </c>
      <c r="C14" s="31"/>
      <c r="D14" s="31"/>
      <c r="E14" s="33" t="s">
        <v>64</v>
      </c>
      <c r="F14" s="31"/>
      <c r="G14" s="31"/>
      <c r="H14" s="31"/>
      <c r="I14" s="31"/>
      <c r="J14" s="31"/>
      <c r="K14" s="31"/>
      <c r="L14" s="31"/>
      <c r="M14" s="31"/>
      <c r="N14" s="34">
        <v>46156</v>
      </c>
      <c r="O14" s="34">
        <v>46156</v>
      </c>
      <c r="P14" s="35">
        <v>1</v>
      </c>
      <c r="Q14" s="35">
        <v>0</v>
      </c>
      <c r="R14" s="35">
        <v>1</v>
      </c>
      <c r="S14" s="35">
        <v>0</v>
      </c>
      <c r="T14" s="36"/>
      <c r="U14" s="36"/>
      <c r="V14" s="31"/>
      <c r="W14" s="31"/>
      <c r="X14" s="35"/>
      <c r="Y14" s="31"/>
      <c r="Z14" s="37">
        <v>0</v>
      </c>
      <c r="AA14" s="37">
        <v>0</v>
      </c>
      <c r="AB14" s="31" t="str">
        <f>IFERROR(__xludf.DUMMYFUNCTION("LET(
  _PS, INT(DATE(2026,5,11)), 
  _PE, INT(DATE(2026,7,31)), 
  _TS, INT(N14), 
  _TE, INT(O14), 
  _Ref, INT(today()), 
  _Act, AA14,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4" s="35" t="s">
        <v>65</v>
      </c>
    </row>
    <row r="15" spans="1:29">
      <c r="A15" s="31"/>
      <c r="B15" s="32" t="s">
        <v>66</v>
      </c>
      <c r="C15" s="31"/>
      <c r="D15" s="31"/>
      <c r="E15" s="33" t="s">
        <v>67</v>
      </c>
      <c r="F15" s="31"/>
      <c r="G15" s="31"/>
      <c r="H15" s="31"/>
      <c r="I15" s="31"/>
      <c r="J15" s="31"/>
      <c r="K15" s="31"/>
      <c r="L15" s="31"/>
      <c r="M15" s="31"/>
      <c r="N15" s="34">
        <v>46157</v>
      </c>
      <c r="O15" s="34">
        <v>46157</v>
      </c>
      <c r="P15" s="35">
        <v>1</v>
      </c>
      <c r="Q15" s="35">
        <v>0</v>
      </c>
      <c r="R15" s="35">
        <v>1</v>
      </c>
      <c r="S15" s="35">
        <v>0</v>
      </c>
      <c r="T15" s="36"/>
      <c r="U15" s="36"/>
      <c r="V15" s="31"/>
      <c r="W15" s="31"/>
      <c r="X15" s="35"/>
      <c r="Y15" s="31"/>
      <c r="Z15" s="37">
        <v>0</v>
      </c>
      <c r="AA15" s="37">
        <v>0</v>
      </c>
      <c r="AB15" s="31" t="str">
        <f>IFERROR(__xludf.DUMMYFUNCTION("LET(
  _PS, INT(DATE(2026,5,11)), 
  _PE, INT(DATE(2026,7,31)), 
  _TS, INT(N15), 
  _TE, INT(O15), 
  _Ref, INT(today()), 
  _Act, AA15,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5" s="35" t="s">
        <v>68</v>
      </c>
    </row>
    <row r="16" spans="1:29">
      <c r="A16" s="31"/>
      <c r="B16" s="32" t="s">
        <v>69</v>
      </c>
      <c r="C16" s="31"/>
      <c r="D16" s="31"/>
      <c r="E16" s="33" t="s">
        <v>70</v>
      </c>
      <c r="F16" s="31"/>
      <c r="G16" s="31"/>
      <c r="H16" s="31"/>
      <c r="I16" s="31"/>
      <c r="J16" s="31"/>
      <c r="K16" s="31"/>
      <c r="L16" s="31"/>
      <c r="M16" s="31"/>
      <c r="N16" s="34">
        <v>46157</v>
      </c>
      <c r="O16" s="34">
        <v>46157</v>
      </c>
      <c r="P16" s="35">
        <v>1</v>
      </c>
      <c r="Q16" s="35">
        <v>0</v>
      </c>
      <c r="R16" s="35">
        <v>1</v>
      </c>
      <c r="S16" s="35">
        <v>0</v>
      </c>
      <c r="T16" s="36"/>
      <c r="U16" s="36"/>
      <c r="V16" s="31"/>
      <c r="W16" s="31"/>
      <c r="X16" s="35"/>
      <c r="Y16" s="31"/>
      <c r="Z16" s="37">
        <v>0</v>
      </c>
      <c r="AA16" s="37">
        <v>0</v>
      </c>
      <c r="AB16" s="31" t="str">
        <f>IFERROR(__xludf.DUMMYFUNCTION("LET(
  _PS, INT(DATE(2026,5,11)), 
  _PE, INT(DATE(2026,7,31)), 
  _TS, INT(N16), 
  _TE, INT(O16), 
  _Ref, INT(today()), 
  _Act, AA16,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6" s="35" t="s">
        <v>71</v>
      </c>
    </row>
    <row r="17" spans="1:29">
      <c r="A17" s="22"/>
      <c r="B17" s="23">
        <v>1.2</v>
      </c>
      <c r="C17" s="22"/>
      <c r="D17" s="24" t="s">
        <v>72</v>
      </c>
      <c r="E17" s="22"/>
      <c r="F17" s="22"/>
      <c r="G17" s="22"/>
      <c r="H17" s="22"/>
      <c r="I17" s="22"/>
      <c r="J17" s="22"/>
      <c r="K17" s="22"/>
      <c r="L17" s="22"/>
      <c r="M17" s="22"/>
      <c r="N17" s="25">
        <v>46160</v>
      </c>
      <c r="O17" s="25">
        <v>46164</v>
      </c>
      <c r="P17" s="26">
        <v>10</v>
      </c>
      <c r="Q17" s="26">
        <v>0</v>
      </c>
      <c r="R17" s="26">
        <v>5</v>
      </c>
      <c r="S17" s="26">
        <v>0</v>
      </c>
      <c r="T17" s="27"/>
      <c r="U17" s="27"/>
      <c r="V17" s="22"/>
      <c r="W17" s="22"/>
      <c r="X17" s="26"/>
      <c r="Y17" s="22"/>
      <c r="Z17" s="28">
        <v>0</v>
      </c>
      <c r="AA17" s="37">
        <v>0</v>
      </c>
      <c r="AB17" s="22" t="str">
        <f>IFERROR(__xludf.DUMMYFUNCTION("LET(
  _PS, INT(DATE(2026,5,11)), 
  _PE, INT(DATE(2026,7,31)), 
  _TS, INT(N17), 
  _TE, INT(O17), 
  _Ref, INT(today()), 
  _Act, AA17,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7" s="26" t="s">
        <v>73</v>
      </c>
    </row>
    <row r="18" spans="1:29">
      <c r="A18" s="31"/>
      <c r="B18" s="32" t="s">
        <v>74</v>
      </c>
      <c r="C18" s="31"/>
      <c r="D18" s="31"/>
      <c r="E18" s="33" t="s">
        <v>75</v>
      </c>
      <c r="F18" s="31"/>
      <c r="G18" s="31"/>
      <c r="H18" s="31"/>
      <c r="I18" s="31"/>
      <c r="J18" s="31"/>
      <c r="K18" s="31"/>
      <c r="L18" s="31"/>
      <c r="M18" s="31"/>
      <c r="N18" s="34">
        <v>46160</v>
      </c>
      <c r="O18" s="34">
        <v>46160</v>
      </c>
      <c r="P18" s="35">
        <v>1</v>
      </c>
      <c r="Q18" s="35">
        <v>0</v>
      </c>
      <c r="R18" s="35">
        <v>1</v>
      </c>
      <c r="S18" s="35">
        <v>0</v>
      </c>
      <c r="T18" s="36"/>
      <c r="U18" s="36"/>
      <c r="V18" s="31"/>
      <c r="W18" s="31"/>
      <c r="X18" s="35"/>
      <c r="Y18" s="31"/>
      <c r="Z18" s="37">
        <v>0</v>
      </c>
      <c r="AA18" s="37">
        <v>0</v>
      </c>
      <c r="AB18" s="31" t="str">
        <f>IFERROR(__xludf.DUMMYFUNCTION("LET(
  _PS, INT(DATE(2026,5,11)), 
  _PE, INT(DATE(2026,7,31)), 
  _TS, INT(N18), 
  _TE, INT(O18), 
  _Ref, INT(today()), 
  _Act, AA18,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8" s="35" t="s">
        <v>76</v>
      </c>
    </row>
    <row r="19" spans="1:29">
      <c r="A19" s="31"/>
      <c r="B19" s="32" t="s">
        <v>77</v>
      </c>
      <c r="C19" s="31"/>
      <c r="D19" s="31"/>
      <c r="E19" s="33" t="s">
        <v>78</v>
      </c>
      <c r="F19" s="31"/>
      <c r="G19" s="31"/>
      <c r="H19" s="31"/>
      <c r="I19" s="31"/>
      <c r="J19" s="31"/>
      <c r="K19" s="31"/>
      <c r="L19" s="31"/>
      <c r="M19" s="31"/>
      <c r="N19" s="34">
        <v>46160</v>
      </c>
      <c r="O19" s="34">
        <v>46160</v>
      </c>
      <c r="P19" s="35">
        <v>1</v>
      </c>
      <c r="Q19" s="35">
        <v>0</v>
      </c>
      <c r="R19" s="35">
        <v>1</v>
      </c>
      <c r="S19" s="35">
        <v>0</v>
      </c>
      <c r="T19" s="36"/>
      <c r="U19" s="36"/>
      <c r="V19" s="31"/>
      <c r="W19" s="31"/>
      <c r="X19" s="35"/>
      <c r="Y19" s="31"/>
      <c r="Z19" s="37">
        <v>0</v>
      </c>
      <c r="AA19" s="37">
        <v>0</v>
      </c>
      <c r="AB19" s="31" t="str">
        <f>IFERROR(__xludf.DUMMYFUNCTION("LET(
  _PS, INT(DATE(2026,5,11)), 
  _PE, INT(DATE(2026,7,31)), 
  _TS, INT(N19), 
  _TE, INT(O19), 
  _Ref, INT(today()), 
  _Act, AA19,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9" s="35" t="s">
        <v>79</v>
      </c>
    </row>
    <row r="20" spans="1:29">
      <c r="A20" s="31"/>
      <c r="B20" s="32" t="s">
        <v>80</v>
      </c>
      <c r="C20" s="31"/>
      <c r="D20" s="31"/>
      <c r="E20" s="33" t="s">
        <v>81</v>
      </c>
      <c r="F20" s="31"/>
      <c r="G20" s="31"/>
      <c r="H20" s="31"/>
      <c r="I20" s="31"/>
      <c r="J20" s="31"/>
      <c r="K20" s="31"/>
      <c r="L20" s="31"/>
      <c r="M20" s="31"/>
      <c r="N20" s="34">
        <v>46161</v>
      </c>
      <c r="O20" s="34">
        <v>46161</v>
      </c>
      <c r="P20" s="35">
        <v>1</v>
      </c>
      <c r="Q20" s="35">
        <v>0</v>
      </c>
      <c r="R20" s="35">
        <v>1</v>
      </c>
      <c r="S20" s="35">
        <v>0</v>
      </c>
      <c r="T20" s="36"/>
      <c r="U20" s="36"/>
      <c r="V20" s="31"/>
      <c r="W20" s="31"/>
      <c r="X20" s="35"/>
      <c r="Y20" s="31"/>
      <c r="Z20" s="37">
        <v>0</v>
      </c>
      <c r="AA20" s="37">
        <v>0</v>
      </c>
      <c r="AB20" s="31" t="str">
        <f>IFERROR(__xludf.DUMMYFUNCTION("LET(
  _PS, INT(DATE(2026,5,11)), 
  _PE, INT(DATE(2026,7,31)), 
  _TS, INT(N20), 
  _TE, INT(O20), 
  _Ref, INT(today()), 
  _Act, AA20,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0" s="35" t="s">
        <v>82</v>
      </c>
    </row>
    <row r="21" spans="1:29">
      <c r="A21" s="31"/>
      <c r="B21" s="32" t="s">
        <v>83</v>
      </c>
      <c r="C21" s="31"/>
      <c r="D21" s="31"/>
      <c r="E21" s="33" t="s">
        <v>84</v>
      </c>
      <c r="F21" s="31"/>
      <c r="G21" s="31"/>
      <c r="H21" s="31"/>
      <c r="I21" s="31"/>
      <c r="J21" s="31"/>
      <c r="K21" s="31"/>
      <c r="L21" s="31"/>
      <c r="M21" s="31"/>
      <c r="N21" s="34">
        <v>46161</v>
      </c>
      <c r="O21" s="34">
        <v>46161</v>
      </c>
      <c r="P21" s="35">
        <v>1</v>
      </c>
      <c r="Q21" s="35">
        <v>0</v>
      </c>
      <c r="R21" s="35">
        <v>1</v>
      </c>
      <c r="S21" s="35">
        <v>0</v>
      </c>
      <c r="T21" s="36"/>
      <c r="U21" s="36"/>
      <c r="V21" s="31"/>
      <c r="W21" s="31"/>
      <c r="X21" s="35"/>
      <c r="Y21" s="31"/>
      <c r="Z21" s="37">
        <v>0</v>
      </c>
      <c r="AA21" s="37">
        <v>0</v>
      </c>
      <c r="AB21" s="31" t="str">
        <f>IFERROR(__xludf.DUMMYFUNCTION("LET(
  _PS, INT(DATE(2026,5,11)), 
  _PE, INT(DATE(2026,7,31)), 
  _TS, INT(N21), 
  _TE, INT(O21), 
  _Ref, INT(today()), 
  _Act, AA21,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1" s="35" t="s">
        <v>85</v>
      </c>
    </row>
    <row r="22" spans="1:29">
      <c r="A22" s="31"/>
      <c r="B22" s="32" t="s">
        <v>86</v>
      </c>
      <c r="C22" s="31"/>
      <c r="D22" s="31"/>
      <c r="E22" s="33" t="s">
        <v>87</v>
      </c>
      <c r="F22" s="31"/>
      <c r="G22" s="31"/>
      <c r="H22" s="31"/>
      <c r="I22" s="31"/>
      <c r="J22" s="31"/>
      <c r="K22" s="31"/>
      <c r="L22" s="31"/>
      <c r="M22" s="31"/>
      <c r="N22" s="34">
        <v>46162</v>
      </c>
      <c r="O22" s="34">
        <v>46162</v>
      </c>
      <c r="P22" s="35">
        <v>1</v>
      </c>
      <c r="Q22" s="35">
        <v>0</v>
      </c>
      <c r="R22" s="35">
        <v>1</v>
      </c>
      <c r="S22" s="35">
        <v>0</v>
      </c>
      <c r="T22" s="36"/>
      <c r="U22" s="36"/>
      <c r="V22" s="31"/>
      <c r="W22" s="31"/>
      <c r="X22" s="35"/>
      <c r="Y22" s="31"/>
      <c r="Z22" s="37">
        <v>0</v>
      </c>
      <c r="AA22" s="37">
        <v>0</v>
      </c>
      <c r="AB22" s="31" t="str">
        <f>IFERROR(__xludf.DUMMYFUNCTION("LET(
  _PS, INT(DATE(2026,5,11)), 
  _PE, INT(DATE(2026,7,31)), 
  _TS, INT(N22), 
  _TE, INT(O22), 
  _Ref, INT(today()), 
  _Act, AA22,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2" s="35" t="s">
        <v>88</v>
      </c>
    </row>
    <row r="23" spans="1:29">
      <c r="A23" s="31"/>
      <c r="B23" s="32" t="s">
        <v>89</v>
      </c>
      <c r="C23" s="31"/>
      <c r="D23" s="31"/>
      <c r="E23" s="33" t="s">
        <v>90</v>
      </c>
      <c r="F23" s="31"/>
      <c r="G23" s="31"/>
      <c r="H23" s="31"/>
      <c r="I23" s="31"/>
      <c r="J23" s="31"/>
      <c r="K23" s="31"/>
      <c r="L23" s="31"/>
      <c r="M23" s="31"/>
      <c r="N23" s="34">
        <v>46162</v>
      </c>
      <c r="O23" s="34">
        <v>46162</v>
      </c>
      <c r="P23" s="35">
        <v>1</v>
      </c>
      <c r="Q23" s="35">
        <v>0</v>
      </c>
      <c r="R23" s="35">
        <v>1</v>
      </c>
      <c r="S23" s="35">
        <v>0</v>
      </c>
      <c r="T23" s="36"/>
      <c r="U23" s="36"/>
      <c r="V23" s="31"/>
      <c r="W23" s="31"/>
      <c r="X23" s="35"/>
      <c r="Y23" s="31"/>
      <c r="Z23" s="37">
        <v>0</v>
      </c>
      <c r="AA23" s="37">
        <v>0</v>
      </c>
      <c r="AB23" s="31" t="str">
        <f>IFERROR(__xludf.DUMMYFUNCTION("LET(
  _PS, INT(DATE(2026,5,11)), 
  _PE, INT(DATE(2026,7,31)), 
  _TS, INT(N23), 
  _TE, INT(O23), 
  _Ref, INT(today()), 
  _Act, AA23,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3" s="35" t="s">
        <v>91</v>
      </c>
    </row>
    <row r="24" spans="1:29">
      <c r="A24" s="31"/>
      <c r="B24" s="32" t="s">
        <v>92</v>
      </c>
      <c r="C24" s="31"/>
      <c r="D24" s="31"/>
      <c r="E24" s="33" t="s">
        <v>93</v>
      </c>
      <c r="F24" s="31"/>
      <c r="G24" s="31"/>
      <c r="H24" s="31"/>
      <c r="I24" s="31"/>
      <c r="J24" s="31"/>
      <c r="K24" s="31"/>
      <c r="L24" s="31"/>
      <c r="M24" s="31"/>
      <c r="N24" s="34">
        <v>46163</v>
      </c>
      <c r="O24" s="34">
        <v>46163</v>
      </c>
      <c r="P24" s="35">
        <v>1</v>
      </c>
      <c r="Q24" s="35">
        <v>0</v>
      </c>
      <c r="R24" s="35">
        <v>1</v>
      </c>
      <c r="S24" s="35">
        <v>0</v>
      </c>
      <c r="T24" s="36"/>
      <c r="U24" s="36"/>
      <c r="V24" s="31"/>
      <c r="W24" s="31"/>
      <c r="X24" s="35"/>
      <c r="Y24" s="31"/>
      <c r="Z24" s="37">
        <v>0</v>
      </c>
      <c r="AA24" s="37">
        <v>0</v>
      </c>
      <c r="AB24" s="31" t="str">
        <f>IFERROR(__xludf.DUMMYFUNCTION("LET(
  _PS, INT(DATE(2026,5,11)), 
  _PE, INT(DATE(2026,7,31)), 
  _TS, INT(N24), 
  _TE, INT(O24), 
  _Ref, INT(today()), 
  _Act, AA24,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4" s="35" t="s">
        <v>94</v>
      </c>
    </row>
    <row r="25" spans="1:29">
      <c r="A25" s="31"/>
      <c r="B25" s="32" t="s">
        <v>95</v>
      </c>
      <c r="C25" s="31"/>
      <c r="D25" s="31"/>
      <c r="E25" s="33" t="s">
        <v>96</v>
      </c>
      <c r="F25" s="31"/>
      <c r="G25" s="31"/>
      <c r="H25" s="31"/>
      <c r="I25" s="31"/>
      <c r="J25" s="31"/>
      <c r="K25" s="31"/>
      <c r="L25" s="31"/>
      <c r="M25" s="31"/>
      <c r="N25" s="34">
        <v>46163</v>
      </c>
      <c r="O25" s="34">
        <v>46163</v>
      </c>
      <c r="P25" s="35">
        <v>1</v>
      </c>
      <c r="Q25" s="35">
        <v>0</v>
      </c>
      <c r="R25" s="35">
        <v>1</v>
      </c>
      <c r="S25" s="35">
        <v>0</v>
      </c>
      <c r="T25" s="36"/>
      <c r="U25" s="36"/>
      <c r="V25" s="31"/>
      <c r="W25" s="31"/>
      <c r="X25" s="35"/>
      <c r="Y25" s="31"/>
      <c r="Z25" s="37">
        <v>0</v>
      </c>
      <c r="AA25" s="37">
        <v>0</v>
      </c>
      <c r="AB25" s="31" t="str">
        <f>IFERROR(__xludf.DUMMYFUNCTION("LET(
  _PS, INT(DATE(2026,5,11)), 
  _PE, INT(DATE(2026,7,31)), 
  _TS, INT(N25), 
  _TE, INT(O25), 
  _Ref, INT(today()), 
  _Act, AA25,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5" s="35" t="s">
        <v>97</v>
      </c>
    </row>
    <row r="26" spans="1:29">
      <c r="A26" s="31"/>
      <c r="B26" s="32" t="s">
        <v>98</v>
      </c>
      <c r="C26" s="31"/>
      <c r="D26" s="31"/>
      <c r="E26" s="33" t="s">
        <v>99</v>
      </c>
      <c r="F26" s="31"/>
      <c r="G26" s="31"/>
      <c r="H26" s="31"/>
      <c r="I26" s="31"/>
      <c r="J26" s="31"/>
      <c r="K26" s="31"/>
      <c r="L26" s="31"/>
      <c r="M26" s="31"/>
      <c r="N26" s="34">
        <v>46164</v>
      </c>
      <c r="O26" s="34">
        <v>46164</v>
      </c>
      <c r="P26" s="35">
        <v>1</v>
      </c>
      <c r="Q26" s="35">
        <v>0</v>
      </c>
      <c r="R26" s="35">
        <v>1</v>
      </c>
      <c r="S26" s="35">
        <v>0</v>
      </c>
      <c r="T26" s="36"/>
      <c r="U26" s="36"/>
      <c r="V26" s="31"/>
      <c r="W26" s="31"/>
      <c r="X26" s="35"/>
      <c r="Y26" s="31"/>
      <c r="Z26" s="37">
        <v>0</v>
      </c>
      <c r="AA26" s="37">
        <v>0</v>
      </c>
      <c r="AB26" s="31" t="str">
        <f>IFERROR(__xludf.DUMMYFUNCTION("LET(
  _PS, INT(DATE(2026,5,11)), 
  _PE, INT(DATE(2026,7,31)), 
  _TS, INT(N26), 
  _TE, INT(O26), 
  _Ref, INT(today()), 
  _Act, AA26,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6" s="35" t="s">
        <v>100</v>
      </c>
    </row>
    <row r="27" spans="1:29">
      <c r="A27" s="31"/>
      <c r="B27" s="32" t="s">
        <v>101</v>
      </c>
      <c r="C27" s="31"/>
      <c r="D27" s="31"/>
      <c r="E27" s="33" t="s">
        <v>102</v>
      </c>
      <c r="F27" s="31"/>
      <c r="G27" s="31"/>
      <c r="H27" s="31"/>
      <c r="I27" s="31"/>
      <c r="J27" s="31"/>
      <c r="K27" s="31"/>
      <c r="L27" s="31"/>
      <c r="M27" s="31"/>
      <c r="N27" s="34">
        <v>46164</v>
      </c>
      <c r="O27" s="34">
        <v>46164</v>
      </c>
      <c r="P27" s="35">
        <v>1</v>
      </c>
      <c r="Q27" s="35">
        <v>0</v>
      </c>
      <c r="R27" s="35">
        <v>1</v>
      </c>
      <c r="S27" s="35">
        <v>0</v>
      </c>
      <c r="T27" s="36"/>
      <c r="U27" s="36"/>
      <c r="V27" s="31"/>
      <c r="W27" s="31"/>
      <c r="X27" s="35"/>
      <c r="Y27" s="31"/>
      <c r="Z27" s="37">
        <v>0</v>
      </c>
      <c r="AA27" s="37">
        <v>0</v>
      </c>
      <c r="AB27" s="31" t="str">
        <f>IFERROR(__xludf.DUMMYFUNCTION("LET(
  _PS, INT(DATE(2026,5,11)), 
  _PE, INT(DATE(2026,7,31)), 
  _TS, INT(N27), 
  _TE, INT(O27), 
  _Ref, INT(today()), 
  _Act, AA27,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7" s="35" t="s">
        <v>103</v>
      </c>
    </row>
    <row r="28" spans="1:29">
      <c r="A28" s="22"/>
      <c r="B28" s="23">
        <v>1.3</v>
      </c>
      <c r="C28" s="22"/>
      <c r="D28" s="24" t="s">
        <v>104</v>
      </c>
      <c r="E28" s="22"/>
      <c r="F28" s="22"/>
      <c r="G28" s="22"/>
      <c r="H28" s="22"/>
      <c r="I28" s="22"/>
      <c r="J28" s="22"/>
      <c r="K28" s="22"/>
      <c r="L28" s="22"/>
      <c r="M28" s="22"/>
      <c r="N28" s="25">
        <v>46168</v>
      </c>
      <c r="O28" s="25">
        <v>46174</v>
      </c>
      <c r="P28" s="26">
        <v>10</v>
      </c>
      <c r="Q28" s="26">
        <v>0</v>
      </c>
      <c r="R28" s="26">
        <v>5</v>
      </c>
      <c r="S28" s="26">
        <v>0</v>
      </c>
      <c r="T28" s="27"/>
      <c r="U28" s="27"/>
      <c r="V28" s="22"/>
      <c r="W28" s="22"/>
      <c r="X28" s="26"/>
      <c r="Y28" s="22"/>
      <c r="Z28" s="28">
        <v>0</v>
      </c>
      <c r="AA28" s="37">
        <v>0</v>
      </c>
      <c r="AB28" s="22" t="str">
        <f>IFERROR(__xludf.DUMMYFUNCTION("LET(
  _PS, INT(DATE(2026,5,11)), 
  _PE, INT(DATE(2026,7,31)), 
  _TS, INT(N28), 
  _TE, INT(O28), 
  _Ref, INT(today()), 
  _Act, AA28,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8" s="26" t="s">
        <v>105</v>
      </c>
    </row>
    <row r="29" spans="1:29">
      <c r="A29" s="31"/>
      <c r="B29" s="32" t="s">
        <v>106</v>
      </c>
      <c r="C29" s="31"/>
      <c r="D29" s="31"/>
      <c r="E29" s="33" t="s">
        <v>107</v>
      </c>
      <c r="F29" s="31"/>
      <c r="G29" s="31"/>
      <c r="H29" s="31"/>
      <c r="I29" s="31"/>
      <c r="J29" s="31"/>
      <c r="K29" s="31"/>
      <c r="L29" s="31"/>
      <c r="M29" s="31"/>
      <c r="N29" s="34">
        <v>46168</v>
      </c>
      <c r="O29" s="34">
        <v>46168</v>
      </c>
      <c r="P29" s="35">
        <v>1</v>
      </c>
      <c r="Q29" s="35">
        <v>0</v>
      </c>
      <c r="R29" s="35">
        <v>1</v>
      </c>
      <c r="S29" s="35">
        <v>0</v>
      </c>
      <c r="T29" s="36"/>
      <c r="U29" s="36"/>
      <c r="V29" s="31"/>
      <c r="W29" s="31"/>
      <c r="X29" s="35"/>
      <c r="Y29" s="31"/>
      <c r="Z29" s="37">
        <v>0</v>
      </c>
      <c r="AA29" s="37">
        <v>0</v>
      </c>
      <c r="AB29" s="31" t="str">
        <f>IFERROR(__xludf.DUMMYFUNCTION("LET(
  _PS, INT(DATE(2026,5,11)), 
  _PE, INT(DATE(2026,7,31)), 
  _TS, INT(N29), 
  _TE, INT(O29), 
  _Ref, INT(today()), 
  _Act, AA29,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29" s="35" t="s">
        <v>108</v>
      </c>
    </row>
    <row r="30" spans="1:29">
      <c r="A30" s="31"/>
      <c r="B30" s="32" t="s">
        <v>109</v>
      </c>
      <c r="C30" s="31"/>
      <c r="D30" s="31"/>
      <c r="E30" s="33" t="s">
        <v>110</v>
      </c>
      <c r="F30" s="31"/>
      <c r="G30" s="31"/>
      <c r="H30" s="31"/>
      <c r="I30" s="31"/>
      <c r="J30" s="31"/>
      <c r="K30" s="31"/>
      <c r="L30" s="31"/>
      <c r="M30" s="31"/>
      <c r="N30" s="34">
        <v>46168</v>
      </c>
      <c r="O30" s="34">
        <v>46168</v>
      </c>
      <c r="P30" s="35">
        <v>1</v>
      </c>
      <c r="Q30" s="35">
        <v>0</v>
      </c>
      <c r="R30" s="35">
        <v>1</v>
      </c>
      <c r="S30" s="35">
        <v>0</v>
      </c>
      <c r="T30" s="36"/>
      <c r="U30" s="36"/>
      <c r="V30" s="31"/>
      <c r="W30" s="31"/>
      <c r="X30" s="35"/>
      <c r="Y30" s="31"/>
      <c r="Z30" s="37">
        <v>0</v>
      </c>
      <c r="AA30" s="37">
        <v>0</v>
      </c>
      <c r="AB30" s="31" t="str">
        <f>IFERROR(__xludf.DUMMYFUNCTION("LET(
  _PS, INT(DATE(2026,5,11)), 
  _PE, INT(DATE(2026,7,31)), 
  _TS, INT(N30), 
  _TE, INT(O30), 
  _Ref, INT(today()), 
  _Act, AA30,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0" s="35" t="s">
        <v>111</v>
      </c>
    </row>
    <row r="31" spans="1:29">
      <c r="A31" s="31"/>
      <c r="B31" s="32" t="s">
        <v>112</v>
      </c>
      <c r="C31" s="31"/>
      <c r="D31" s="31"/>
      <c r="E31" s="33" t="s">
        <v>113</v>
      </c>
      <c r="F31" s="31"/>
      <c r="G31" s="31"/>
      <c r="H31" s="31"/>
      <c r="I31" s="31"/>
      <c r="J31" s="31"/>
      <c r="K31" s="31"/>
      <c r="L31" s="31"/>
      <c r="M31" s="31"/>
      <c r="N31" s="34">
        <v>46169</v>
      </c>
      <c r="O31" s="34">
        <v>46169</v>
      </c>
      <c r="P31" s="35">
        <v>1</v>
      </c>
      <c r="Q31" s="35">
        <v>0</v>
      </c>
      <c r="R31" s="35">
        <v>1</v>
      </c>
      <c r="S31" s="35">
        <v>0</v>
      </c>
      <c r="T31" s="36"/>
      <c r="U31" s="36"/>
      <c r="V31" s="31"/>
      <c r="W31" s="31"/>
      <c r="X31" s="35"/>
      <c r="Y31" s="31"/>
      <c r="Z31" s="37">
        <v>0</v>
      </c>
      <c r="AA31" s="37">
        <v>0</v>
      </c>
      <c r="AB31" s="31" t="str">
        <f>IFERROR(__xludf.DUMMYFUNCTION("LET(
  _PS, INT(DATE(2026,5,11)), 
  _PE, INT(DATE(2026,7,31)), 
  _TS, INT(N31), 
  _TE, INT(O31), 
  _Ref, INT(today()), 
  _Act, AA31,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1" s="35" t="s">
        <v>114</v>
      </c>
    </row>
    <row r="32" spans="1:29">
      <c r="A32" s="31"/>
      <c r="B32" s="32" t="s">
        <v>115</v>
      </c>
      <c r="C32" s="31"/>
      <c r="D32" s="35"/>
      <c r="E32" s="33" t="s">
        <v>116</v>
      </c>
      <c r="F32" s="31"/>
      <c r="G32" s="31"/>
      <c r="H32" s="31"/>
      <c r="I32" s="31"/>
      <c r="J32" s="31"/>
      <c r="K32" s="31"/>
      <c r="L32" s="31"/>
      <c r="M32" s="31"/>
      <c r="N32" s="34">
        <v>46169</v>
      </c>
      <c r="O32" s="34">
        <v>46169</v>
      </c>
      <c r="P32" s="35">
        <v>1</v>
      </c>
      <c r="Q32" s="35">
        <v>0</v>
      </c>
      <c r="R32" s="35">
        <v>1</v>
      </c>
      <c r="S32" s="35">
        <v>0</v>
      </c>
      <c r="T32" s="36"/>
      <c r="U32" s="36"/>
      <c r="V32" s="31"/>
      <c r="W32" s="31"/>
      <c r="X32" s="35"/>
      <c r="Y32" s="31"/>
      <c r="Z32" s="37">
        <v>0</v>
      </c>
      <c r="AA32" s="37">
        <v>0</v>
      </c>
      <c r="AB32" s="31" t="str">
        <f>IFERROR(__xludf.DUMMYFUNCTION("LET(
  _PS, INT(DATE(2026,5,11)), 
  _PE, INT(DATE(2026,7,31)), 
  _TS, INT(N32), 
  _TE, INT(O32), 
  _Ref, INT(today()), 
  _Act, AA32,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2" s="35" t="s">
        <v>117</v>
      </c>
    </row>
    <row r="33" spans="1:29">
      <c r="A33" s="31"/>
      <c r="B33" s="32" t="s">
        <v>118</v>
      </c>
      <c r="C33" s="31"/>
      <c r="D33" s="31"/>
      <c r="E33" s="33" t="s">
        <v>119</v>
      </c>
      <c r="F33" s="31"/>
      <c r="G33" s="31"/>
      <c r="H33" s="31"/>
      <c r="I33" s="31"/>
      <c r="J33" s="31"/>
      <c r="K33" s="31"/>
      <c r="L33" s="31"/>
      <c r="M33" s="31"/>
      <c r="N33" s="34">
        <v>46170</v>
      </c>
      <c r="O33" s="34">
        <v>46170</v>
      </c>
      <c r="P33" s="35">
        <v>1</v>
      </c>
      <c r="Q33" s="35">
        <v>0</v>
      </c>
      <c r="R33" s="35">
        <v>1</v>
      </c>
      <c r="S33" s="35">
        <v>0</v>
      </c>
      <c r="T33" s="36"/>
      <c r="U33" s="36"/>
      <c r="V33" s="31"/>
      <c r="W33" s="31"/>
      <c r="X33" s="35"/>
      <c r="Y33" s="31"/>
      <c r="Z33" s="37">
        <v>0</v>
      </c>
      <c r="AA33" s="37">
        <v>0</v>
      </c>
      <c r="AB33" s="31" t="str">
        <f>IFERROR(__xludf.DUMMYFUNCTION("LET(
  _PS, INT(DATE(2026,5,11)), 
  _PE, INT(DATE(2026,7,31)), 
  _TS, INT(N33), 
  _TE, INT(O33), 
  _Ref, INT(today()), 
  _Act, AA33,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3" s="35" t="s">
        <v>120</v>
      </c>
    </row>
    <row r="34" spans="1:29">
      <c r="A34" s="31"/>
      <c r="B34" s="32" t="s">
        <v>121</v>
      </c>
      <c r="C34" s="31"/>
      <c r="D34" s="31"/>
      <c r="E34" s="33" t="s">
        <v>122</v>
      </c>
      <c r="F34" s="31"/>
      <c r="G34" s="31"/>
      <c r="H34" s="31"/>
      <c r="I34" s="31"/>
      <c r="J34" s="31"/>
      <c r="K34" s="31"/>
      <c r="L34" s="31"/>
      <c r="M34" s="31"/>
      <c r="N34" s="34">
        <v>46170</v>
      </c>
      <c r="O34" s="34">
        <v>46170</v>
      </c>
      <c r="P34" s="35">
        <v>1</v>
      </c>
      <c r="Q34" s="35">
        <v>0</v>
      </c>
      <c r="R34" s="35">
        <v>1</v>
      </c>
      <c r="S34" s="35">
        <v>0</v>
      </c>
      <c r="T34" s="36"/>
      <c r="U34" s="36"/>
      <c r="V34" s="31"/>
      <c r="W34" s="31"/>
      <c r="X34" s="35"/>
      <c r="Y34" s="31"/>
      <c r="Z34" s="37">
        <v>0</v>
      </c>
      <c r="AA34" s="37">
        <v>0</v>
      </c>
      <c r="AB34" s="31" t="str">
        <f>IFERROR(__xludf.DUMMYFUNCTION("LET(
  _PS, INT(DATE(2026,5,11)), 
  _PE, INT(DATE(2026,7,31)), 
  _TS, INT(N34), 
  _TE, INT(O34), 
  _Ref, INT(today()), 
  _Act, AA34,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4" s="35" t="s">
        <v>123</v>
      </c>
    </row>
    <row r="35" spans="1:29">
      <c r="A35" s="31"/>
      <c r="B35" s="32" t="s">
        <v>124</v>
      </c>
      <c r="C35" s="31"/>
      <c r="D35" s="31"/>
      <c r="E35" s="33" t="s">
        <v>125</v>
      </c>
      <c r="F35" s="31"/>
      <c r="G35" s="31"/>
      <c r="H35" s="31"/>
      <c r="I35" s="31"/>
      <c r="J35" s="31"/>
      <c r="K35" s="31"/>
      <c r="L35" s="31"/>
      <c r="M35" s="31"/>
      <c r="N35" s="34">
        <v>46171</v>
      </c>
      <c r="O35" s="34">
        <v>46171</v>
      </c>
      <c r="P35" s="35">
        <v>1</v>
      </c>
      <c r="Q35" s="35">
        <v>0</v>
      </c>
      <c r="R35" s="35">
        <v>1</v>
      </c>
      <c r="S35" s="35">
        <v>0</v>
      </c>
      <c r="T35" s="36"/>
      <c r="U35" s="36"/>
      <c r="V35" s="31"/>
      <c r="W35" s="31"/>
      <c r="X35" s="35"/>
      <c r="Y35" s="31"/>
      <c r="Z35" s="37">
        <v>0</v>
      </c>
      <c r="AA35" s="37">
        <v>0</v>
      </c>
      <c r="AB35" s="31" t="str">
        <f>IFERROR(__xludf.DUMMYFUNCTION("LET(
  _PS, INT(DATE(2026,5,11)), 
  _PE, INT(DATE(2026,7,31)), 
  _TS, INT(N35), 
  _TE, INT(O35), 
  _Ref, INT(today()), 
  _Act, AA35,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5" s="35" t="s">
        <v>126</v>
      </c>
    </row>
    <row r="36" spans="1:29">
      <c r="A36" s="31"/>
      <c r="B36" s="32" t="s">
        <v>127</v>
      </c>
      <c r="C36" s="31"/>
      <c r="D36" s="31"/>
      <c r="E36" s="33" t="s">
        <v>128</v>
      </c>
      <c r="F36" s="31"/>
      <c r="G36" s="31"/>
      <c r="H36" s="31"/>
      <c r="I36" s="31"/>
      <c r="J36" s="31"/>
      <c r="K36" s="31"/>
      <c r="L36" s="31"/>
      <c r="M36" s="31"/>
      <c r="N36" s="34">
        <v>46171</v>
      </c>
      <c r="O36" s="34">
        <v>46171</v>
      </c>
      <c r="P36" s="35">
        <v>1</v>
      </c>
      <c r="Q36" s="35">
        <v>0</v>
      </c>
      <c r="R36" s="35">
        <v>1</v>
      </c>
      <c r="S36" s="35">
        <v>0</v>
      </c>
      <c r="T36" s="36"/>
      <c r="U36" s="36"/>
      <c r="V36" s="31"/>
      <c r="W36" s="31"/>
      <c r="X36" s="35"/>
      <c r="Y36" s="31"/>
      <c r="Z36" s="37">
        <v>0</v>
      </c>
      <c r="AA36" s="37">
        <v>0</v>
      </c>
      <c r="AB36" s="31" t="str">
        <f>IFERROR(__xludf.DUMMYFUNCTION("LET(
  _PS, INT(DATE(2026,5,11)), 
  _PE, INT(DATE(2026,7,31)), 
  _TS, INT(N36), 
  _TE, INT(O36), 
  _Ref, INT(today()), 
  _Act, AA36,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6" s="35" t="s">
        <v>129</v>
      </c>
    </row>
    <row r="37" spans="1:29">
      <c r="A37" s="31"/>
      <c r="B37" s="32" t="s">
        <v>130</v>
      </c>
      <c r="C37" s="31"/>
      <c r="D37" s="31"/>
      <c r="E37" s="33" t="s">
        <v>131</v>
      </c>
      <c r="F37" s="31"/>
      <c r="G37" s="31"/>
      <c r="H37" s="31"/>
      <c r="I37" s="31"/>
      <c r="J37" s="31"/>
      <c r="K37" s="31"/>
      <c r="L37" s="31"/>
      <c r="M37" s="31"/>
      <c r="N37" s="34">
        <v>46174</v>
      </c>
      <c r="O37" s="34">
        <v>46174</v>
      </c>
      <c r="P37" s="35">
        <v>1</v>
      </c>
      <c r="Q37" s="35">
        <v>0</v>
      </c>
      <c r="R37" s="35">
        <v>1</v>
      </c>
      <c r="S37" s="35">
        <v>0</v>
      </c>
      <c r="T37" s="36"/>
      <c r="U37" s="36"/>
      <c r="V37" s="31"/>
      <c r="W37" s="31"/>
      <c r="X37" s="35"/>
      <c r="Y37" s="31"/>
      <c r="Z37" s="37">
        <v>0</v>
      </c>
      <c r="AA37" s="37">
        <v>0</v>
      </c>
      <c r="AB37" s="31" t="str">
        <f>IFERROR(__xludf.DUMMYFUNCTION("LET(
  _PS, INT(DATE(2026,5,11)), 
  _PE, INT(DATE(2026,7,31)), 
  _TS, INT(N37), 
  _TE, INT(O37), 
  _Ref, INT(today()), 
  _Act, AA37,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7" s="35" t="s">
        <v>132</v>
      </c>
    </row>
    <row r="38" spans="1:29">
      <c r="A38" s="31"/>
      <c r="B38" s="32" t="s">
        <v>133</v>
      </c>
      <c r="C38" s="31"/>
      <c r="D38" s="31"/>
      <c r="E38" s="33" t="s">
        <v>134</v>
      </c>
      <c r="F38" s="31"/>
      <c r="G38" s="31"/>
      <c r="H38" s="31"/>
      <c r="I38" s="31"/>
      <c r="J38" s="31"/>
      <c r="K38" s="31"/>
      <c r="L38" s="31"/>
      <c r="M38" s="31"/>
      <c r="N38" s="34">
        <v>46174</v>
      </c>
      <c r="O38" s="34">
        <v>46174</v>
      </c>
      <c r="P38" s="35">
        <v>1</v>
      </c>
      <c r="Q38" s="35">
        <v>0</v>
      </c>
      <c r="R38" s="35">
        <v>1</v>
      </c>
      <c r="S38" s="35">
        <v>0</v>
      </c>
      <c r="T38" s="36"/>
      <c r="U38" s="36"/>
      <c r="V38" s="31"/>
      <c r="W38" s="31"/>
      <c r="X38" s="35"/>
      <c r="Y38" s="31"/>
      <c r="Z38" s="37">
        <v>0</v>
      </c>
      <c r="AA38" s="37">
        <v>0</v>
      </c>
      <c r="AB38" s="31" t="str">
        <f>IFERROR(__xludf.DUMMYFUNCTION("LET(
  _PS, INT(DATE(2026,5,11)), 
  _PE, INT(DATE(2026,7,31)), 
  _TS, INT(N38), 
  _TE, INT(O38), 
  _Ref, INT(today()), 
  _Act, AA38,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8" s="35" t="s">
        <v>135</v>
      </c>
    </row>
    <row r="39" spans="1:29">
      <c r="A39" s="22"/>
      <c r="B39" s="23">
        <v>2</v>
      </c>
      <c r="C39" s="24" t="s">
        <v>136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5">
        <v>46175</v>
      </c>
      <c r="O39" s="25">
        <v>46225</v>
      </c>
      <c r="P39" s="26">
        <v>50</v>
      </c>
      <c r="Q39" s="26">
        <v>0</v>
      </c>
      <c r="R39" s="26">
        <v>35</v>
      </c>
      <c r="S39" s="26">
        <v>0</v>
      </c>
      <c r="T39" s="27"/>
      <c r="U39" s="27"/>
      <c r="V39" s="22"/>
      <c r="W39" s="22"/>
      <c r="X39" s="26"/>
      <c r="Y39" s="22"/>
      <c r="Z39" s="28">
        <v>0</v>
      </c>
      <c r="AA39" s="37">
        <v>0</v>
      </c>
      <c r="AB39" s="22" t="str">
        <f>IFERROR(__xludf.DUMMYFUNCTION("LET(
  _PS, INT(DATE(2026,5,11)), 
  _PE, INT(DATE(2026,7,31)), 
  _TS, INT(N39), 
  _TE, INT(O39), 
  _Ref, INT(today()), 
  _Act, AA39,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39" s="26" t="s">
        <v>137</v>
      </c>
    </row>
    <row r="40" spans="1:29">
      <c r="A40" s="22"/>
      <c r="B40" s="23">
        <v>2.1</v>
      </c>
      <c r="C40" s="22"/>
      <c r="D40" s="24" t="s">
        <v>138</v>
      </c>
      <c r="E40" s="22"/>
      <c r="F40" s="22"/>
      <c r="G40" s="22"/>
      <c r="H40" s="22"/>
      <c r="I40" s="22"/>
      <c r="J40" s="22"/>
      <c r="K40" s="22"/>
      <c r="L40" s="22"/>
      <c r="M40" s="22"/>
      <c r="N40" s="25">
        <v>46175</v>
      </c>
      <c r="O40" s="25">
        <v>46182</v>
      </c>
      <c r="P40" s="26">
        <v>10</v>
      </c>
      <c r="Q40" s="26">
        <v>0</v>
      </c>
      <c r="R40" s="26">
        <v>5</v>
      </c>
      <c r="S40" s="26">
        <v>0</v>
      </c>
      <c r="T40" s="27"/>
      <c r="U40" s="27"/>
      <c r="V40" s="22"/>
      <c r="W40" s="22"/>
      <c r="X40" s="26"/>
      <c r="Y40" s="22"/>
      <c r="Z40" s="28">
        <v>0</v>
      </c>
      <c r="AA40" s="37">
        <v>0</v>
      </c>
      <c r="AB40" s="22" t="str">
        <f>IFERROR(__xludf.DUMMYFUNCTION("LET(
  _PS, INT(DATE(2026,5,11)), 
  _PE, INT(DATE(2026,7,31)), 
  _TS, INT(N40), 
  _TE, INT(O40), 
  _Ref, INT(today()), 
  _Act, AA40,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0" s="26" t="s">
        <v>139</v>
      </c>
    </row>
    <row r="41" spans="1:29">
      <c r="A41" s="31"/>
      <c r="B41" s="32" t="s">
        <v>140</v>
      </c>
      <c r="C41" s="31"/>
      <c r="D41" s="31"/>
      <c r="E41" s="33" t="s">
        <v>141</v>
      </c>
      <c r="F41" s="31"/>
      <c r="G41" s="31"/>
      <c r="H41" s="31"/>
      <c r="I41" s="31"/>
      <c r="J41" s="31"/>
      <c r="K41" s="31"/>
      <c r="L41" s="31"/>
      <c r="M41" s="31"/>
      <c r="N41" s="34">
        <v>46175</v>
      </c>
      <c r="O41" s="34">
        <v>46175</v>
      </c>
      <c r="P41" s="35">
        <v>1</v>
      </c>
      <c r="Q41" s="35">
        <v>0</v>
      </c>
      <c r="R41" s="35">
        <v>1</v>
      </c>
      <c r="S41" s="35">
        <v>0</v>
      </c>
      <c r="T41" s="36"/>
      <c r="U41" s="36"/>
      <c r="V41" s="31"/>
      <c r="W41" s="31"/>
      <c r="X41" s="35"/>
      <c r="Y41" s="31"/>
      <c r="Z41" s="37">
        <v>0</v>
      </c>
      <c r="AA41" s="37">
        <v>0</v>
      </c>
      <c r="AB41" s="31" t="str">
        <f>IFERROR(__xludf.DUMMYFUNCTION("LET(
  _PS, INT(DATE(2026,5,11)), 
  _PE, INT(DATE(2026,7,31)), 
  _TS, INT(N41), 
  _TE, INT(O41), 
  _Ref, INT(today()), 
  _Act, AA41,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1" s="35" t="s">
        <v>142</v>
      </c>
    </row>
    <row r="42" spans="1:29">
      <c r="A42" s="31"/>
      <c r="B42" s="32" t="s">
        <v>143</v>
      </c>
      <c r="C42" s="31"/>
      <c r="D42" s="31"/>
      <c r="E42" s="33" t="s">
        <v>144</v>
      </c>
      <c r="F42" s="31"/>
      <c r="G42" s="31"/>
      <c r="H42" s="31"/>
      <c r="I42" s="31"/>
      <c r="J42" s="31"/>
      <c r="K42" s="31"/>
      <c r="L42" s="31"/>
      <c r="M42" s="31"/>
      <c r="N42" s="34">
        <v>46175</v>
      </c>
      <c r="O42" s="34">
        <v>46175</v>
      </c>
      <c r="P42" s="35">
        <v>1</v>
      </c>
      <c r="Q42" s="35">
        <v>0</v>
      </c>
      <c r="R42" s="35">
        <v>1</v>
      </c>
      <c r="S42" s="35">
        <v>0</v>
      </c>
      <c r="T42" s="36"/>
      <c r="U42" s="36"/>
      <c r="V42" s="31"/>
      <c r="W42" s="31"/>
      <c r="X42" s="35"/>
      <c r="Y42" s="31"/>
      <c r="Z42" s="37">
        <v>0</v>
      </c>
      <c r="AA42" s="37">
        <v>0</v>
      </c>
      <c r="AB42" s="31" t="str">
        <f>IFERROR(__xludf.DUMMYFUNCTION("LET(
  _PS, INT(DATE(2026,5,11)), 
  _PE, INT(DATE(2026,7,31)), 
  _TS, INT(N42), 
  _TE, INT(O42), 
  _Ref, INT(today()), 
  _Act, AA42,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2" s="35" t="s">
        <v>145</v>
      </c>
    </row>
    <row r="43" spans="1:29">
      <c r="A43" s="31"/>
      <c r="B43" s="32" t="s">
        <v>146</v>
      </c>
      <c r="C43" s="31"/>
      <c r="D43" s="31"/>
      <c r="E43" s="33" t="s">
        <v>147</v>
      </c>
      <c r="F43" s="31"/>
      <c r="G43" s="31"/>
      <c r="H43" s="31"/>
      <c r="I43" s="31"/>
      <c r="J43" s="31"/>
      <c r="K43" s="31"/>
      <c r="L43" s="31"/>
      <c r="M43" s="31"/>
      <c r="N43" s="34">
        <v>46177</v>
      </c>
      <c r="O43" s="34">
        <v>46177</v>
      </c>
      <c r="P43" s="35">
        <v>1</v>
      </c>
      <c r="Q43" s="35">
        <v>0</v>
      </c>
      <c r="R43" s="35">
        <v>1</v>
      </c>
      <c r="S43" s="35">
        <v>0</v>
      </c>
      <c r="T43" s="36"/>
      <c r="U43" s="36"/>
      <c r="V43" s="31"/>
      <c r="W43" s="31"/>
      <c r="X43" s="35"/>
      <c r="Y43" s="31"/>
      <c r="Z43" s="37">
        <v>0</v>
      </c>
      <c r="AA43" s="37">
        <v>0</v>
      </c>
      <c r="AB43" s="31" t="str">
        <f>IFERROR(__xludf.DUMMYFUNCTION("LET(
  _PS, INT(DATE(2026,5,11)), 
  _PE, INT(DATE(2026,7,31)), 
  _TS, INT(N43), 
  _TE, INT(O43), 
  _Ref, INT(today()), 
  _Act, AA43,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3" s="35" t="s">
        <v>148</v>
      </c>
    </row>
    <row r="44" spans="1:29">
      <c r="A44" s="31"/>
      <c r="B44" s="32" t="s">
        <v>149</v>
      </c>
      <c r="C44" s="31"/>
      <c r="D44" s="31"/>
      <c r="E44" s="33" t="s">
        <v>150</v>
      </c>
      <c r="F44" s="31"/>
      <c r="G44" s="31"/>
      <c r="H44" s="31"/>
      <c r="I44" s="31"/>
      <c r="J44" s="31"/>
      <c r="K44" s="31"/>
      <c r="L44" s="31"/>
      <c r="M44" s="31"/>
      <c r="N44" s="34">
        <v>46177</v>
      </c>
      <c r="O44" s="34">
        <v>46177</v>
      </c>
      <c r="P44" s="35">
        <v>1</v>
      </c>
      <c r="Q44" s="35">
        <v>0</v>
      </c>
      <c r="R44" s="35">
        <v>1</v>
      </c>
      <c r="S44" s="35">
        <v>0</v>
      </c>
      <c r="T44" s="36"/>
      <c r="U44" s="36"/>
      <c r="V44" s="31"/>
      <c r="W44" s="31"/>
      <c r="X44" s="35"/>
      <c r="Y44" s="31"/>
      <c r="Z44" s="37">
        <v>0</v>
      </c>
      <c r="AA44" s="37">
        <v>0</v>
      </c>
      <c r="AB44" s="31" t="str">
        <f>IFERROR(__xludf.DUMMYFUNCTION("LET(
  _PS, INT(DATE(2026,5,11)), 
  _PE, INT(DATE(2026,7,31)), 
  _TS, INT(N44), 
  _TE, INT(O44), 
  _Ref, INT(today()), 
  _Act, AA44,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4" s="35" t="s">
        <v>151</v>
      </c>
    </row>
    <row r="45" spans="1:29">
      <c r="A45" s="31"/>
      <c r="B45" s="32" t="s">
        <v>152</v>
      </c>
      <c r="C45" s="31"/>
      <c r="D45" s="31"/>
      <c r="E45" s="33" t="s">
        <v>153</v>
      </c>
      <c r="F45" s="31"/>
      <c r="G45" s="31"/>
      <c r="H45" s="31"/>
      <c r="I45" s="31"/>
      <c r="J45" s="31"/>
      <c r="K45" s="31"/>
      <c r="L45" s="31"/>
      <c r="M45" s="31"/>
      <c r="N45" s="34">
        <v>46178</v>
      </c>
      <c r="O45" s="34">
        <v>46178</v>
      </c>
      <c r="P45" s="35">
        <v>1</v>
      </c>
      <c r="Q45" s="35">
        <v>0</v>
      </c>
      <c r="R45" s="35">
        <v>1</v>
      </c>
      <c r="S45" s="35">
        <v>0</v>
      </c>
      <c r="T45" s="36"/>
      <c r="U45" s="36"/>
      <c r="V45" s="31"/>
      <c r="W45" s="31"/>
      <c r="X45" s="35"/>
      <c r="Y45" s="31"/>
      <c r="Z45" s="37">
        <v>0</v>
      </c>
      <c r="AA45" s="37">
        <v>0</v>
      </c>
      <c r="AB45" s="31" t="str">
        <f>IFERROR(__xludf.DUMMYFUNCTION("LET(
  _PS, INT(DATE(2026,5,11)), 
  _PE, INT(DATE(2026,7,31)), 
  _TS, INT(N45), 
  _TE, INT(O45), 
  _Ref, INT(today()), 
  _Act, AA45,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5" s="35" t="s">
        <v>154</v>
      </c>
    </row>
    <row r="46" spans="1:29">
      <c r="A46" s="31"/>
      <c r="B46" s="32" t="s">
        <v>155</v>
      </c>
      <c r="C46" s="31"/>
      <c r="D46" s="31"/>
      <c r="E46" s="33" t="s">
        <v>156</v>
      </c>
      <c r="F46" s="31"/>
      <c r="G46" s="31"/>
      <c r="H46" s="31"/>
      <c r="I46" s="31"/>
      <c r="J46" s="31"/>
      <c r="K46" s="31"/>
      <c r="L46" s="31"/>
      <c r="M46" s="31"/>
      <c r="N46" s="34">
        <v>46178</v>
      </c>
      <c r="O46" s="34">
        <v>46178</v>
      </c>
      <c r="P46" s="35">
        <v>1</v>
      </c>
      <c r="Q46" s="35">
        <v>0</v>
      </c>
      <c r="R46" s="35">
        <v>1</v>
      </c>
      <c r="S46" s="35">
        <v>0</v>
      </c>
      <c r="T46" s="36"/>
      <c r="U46" s="36"/>
      <c r="V46" s="31"/>
      <c r="W46" s="31"/>
      <c r="X46" s="35"/>
      <c r="Y46" s="31"/>
      <c r="Z46" s="37">
        <v>0</v>
      </c>
      <c r="AA46" s="37">
        <v>0</v>
      </c>
      <c r="AB46" s="31" t="str">
        <f>IFERROR(__xludf.DUMMYFUNCTION("LET(
  _PS, INT(DATE(2026,5,11)), 
  _PE, INT(DATE(2026,7,31)), 
  _TS, INT(N46), 
  _TE, INT(O46), 
  _Ref, INT(today()), 
  _Act, AA46,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6" s="35" t="s">
        <v>157</v>
      </c>
    </row>
    <row r="47" spans="1:29">
      <c r="A47" s="31"/>
      <c r="B47" s="32" t="s">
        <v>158</v>
      </c>
      <c r="C47" s="31"/>
      <c r="D47" s="31"/>
      <c r="E47" s="33" t="s">
        <v>159</v>
      </c>
      <c r="F47" s="31"/>
      <c r="G47" s="31"/>
      <c r="H47" s="31"/>
      <c r="I47" s="31"/>
      <c r="J47" s="31"/>
      <c r="K47" s="31"/>
      <c r="L47" s="31"/>
      <c r="M47" s="31"/>
      <c r="N47" s="34">
        <v>46181</v>
      </c>
      <c r="O47" s="34">
        <v>46181</v>
      </c>
      <c r="P47" s="35">
        <v>1</v>
      </c>
      <c r="Q47" s="35">
        <v>0</v>
      </c>
      <c r="R47" s="35">
        <v>1</v>
      </c>
      <c r="S47" s="35">
        <v>0</v>
      </c>
      <c r="T47" s="36"/>
      <c r="U47" s="36"/>
      <c r="V47" s="31"/>
      <c r="W47" s="31"/>
      <c r="X47" s="35"/>
      <c r="Y47" s="31"/>
      <c r="Z47" s="37">
        <v>0</v>
      </c>
      <c r="AA47" s="37">
        <v>0</v>
      </c>
      <c r="AB47" s="31" t="str">
        <f>IFERROR(__xludf.DUMMYFUNCTION("LET(
  _PS, INT(DATE(2026,5,11)), 
  _PE, INT(DATE(2026,7,31)), 
  _TS, INT(N47), 
  _TE, INT(O47), 
  _Ref, INT(today()), 
  _Act, AA47,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7" s="35" t="s">
        <v>160</v>
      </c>
    </row>
    <row r="48" spans="1:29">
      <c r="A48" s="31"/>
      <c r="B48" s="32" t="s">
        <v>161</v>
      </c>
      <c r="C48" s="31"/>
      <c r="D48" s="31"/>
      <c r="E48" s="33" t="s">
        <v>162</v>
      </c>
      <c r="F48" s="31"/>
      <c r="G48" s="31"/>
      <c r="H48" s="31"/>
      <c r="I48" s="31"/>
      <c r="J48" s="31"/>
      <c r="K48" s="31"/>
      <c r="L48" s="31"/>
      <c r="M48" s="31"/>
      <c r="N48" s="34">
        <v>46181</v>
      </c>
      <c r="O48" s="34">
        <v>46181</v>
      </c>
      <c r="P48" s="35">
        <v>1</v>
      </c>
      <c r="Q48" s="35">
        <v>0</v>
      </c>
      <c r="R48" s="35">
        <v>1</v>
      </c>
      <c r="S48" s="35">
        <v>0</v>
      </c>
      <c r="T48" s="36"/>
      <c r="U48" s="36"/>
      <c r="V48" s="31"/>
      <c r="W48" s="31"/>
      <c r="X48" s="35"/>
      <c r="Y48" s="31"/>
      <c r="Z48" s="37">
        <v>0</v>
      </c>
      <c r="AA48" s="37">
        <v>0</v>
      </c>
      <c r="AB48" s="31" t="str">
        <f>IFERROR(__xludf.DUMMYFUNCTION("LET(
  _PS, INT(DATE(2026,5,11)), 
  _PE, INT(DATE(2026,7,31)), 
  _TS, INT(N48), 
  _TE, INT(O48), 
  _Ref, INT(today()), 
  _Act, AA48,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8" s="35" t="s">
        <v>163</v>
      </c>
    </row>
    <row r="49" spans="1:29">
      <c r="A49" s="31"/>
      <c r="B49" s="32" t="s">
        <v>164</v>
      </c>
      <c r="C49" s="31"/>
      <c r="D49" s="31"/>
      <c r="E49" s="33" t="s">
        <v>165</v>
      </c>
      <c r="F49" s="31"/>
      <c r="G49" s="31"/>
      <c r="H49" s="31"/>
      <c r="I49" s="31"/>
      <c r="J49" s="31"/>
      <c r="K49" s="31"/>
      <c r="L49" s="31"/>
      <c r="M49" s="31"/>
      <c r="N49" s="34">
        <v>46182</v>
      </c>
      <c r="O49" s="34">
        <v>46182</v>
      </c>
      <c r="P49" s="35">
        <v>1</v>
      </c>
      <c r="Q49" s="35">
        <v>0</v>
      </c>
      <c r="R49" s="35">
        <v>1</v>
      </c>
      <c r="S49" s="35">
        <v>0</v>
      </c>
      <c r="T49" s="36"/>
      <c r="U49" s="36"/>
      <c r="V49" s="31"/>
      <c r="W49" s="31"/>
      <c r="X49" s="35"/>
      <c r="Y49" s="31"/>
      <c r="Z49" s="37">
        <v>0</v>
      </c>
      <c r="AA49" s="37">
        <v>0</v>
      </c>
      <c r="AB49" s="31" t="str">
        <f>IFERROR(__xludf.DUMMYFUNCTION("LET(
  _PS, INT(DATE(2026,5,11)), 
  _PE, INT(DATE(2026,7,31)), 
  _TS, INT(N49), 
  _TE, INT(O49), 
  _Ref, INT(today()), 
  _Act, AA49,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49" s="35" t="s">
        <v>166</v>
      </c>
    </row>
    <row r="50" spans="1:29">
      <c r="A50" s="31"/>
      <c r="B50" s="32" t="s">
        <v>167</v>
      </c>
      <c r="C50" s="31"/>
      <c r="D50" s="31"/>
      <c r="E50" s="33" t="s">
        <v>168</v>
      </c>
      <c r="F50" s="31"/>
      <c r="G50" s="31"/>
      <c r="H50" s="31"/>
      <c r="I50" s="31"/>
      <c r="J50" s="31"/>
      <c r="K50" s="31"/>
      <c r="L50" s="31"/>
      <c r="M50" s="31"/>
      <c r="N50" s="34">
        <v>46182</v>
      </c>
      <c r="O50" s="34">
        <v>46182</v>
      </c>
      <c r="P50" s="35">
        <v>1</v>
      </c>
      <c r="Q50" s="35">
        <v>0</v>
      </c>
      <c r="R50" s="35">
        <v>1</v>
      </c>
      <c r="S50" s="35">
        <v>0</v>
      </c>
      <c r="T50" s="36"/>
      <c r="U50" s="36"/>
      <c r="V50" s="31"/>
      <c r="W50" s="31"/>
      <c r="X50" s="35"/>
      <c r="Y50" s="31"/>
      <c r="Z50" s="37">
        <v>0</v>
      </c>
      <c r="AA50" s="37">
        <v>0</v>
      </c>
      <c r="AB50" s="31" t="str">
        <f>IFERROR(__xludf.DUMMYFUNCTION("LET(
  _PS, INT(DATE(2026,5,11)), 
  _PE, INT(DATE(2026,7,31)), 
  _TS, INT(N50), 
  _TE, INT(O50), 
  _Ref, INT(today()), 
  _Act, AA50,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0" s="35" t="s">
        <v>169</v>
      </c>
    </row>
    <row r="51" spans="1:29">
      <c r="A51" s="22"/>
      <c r="B51" s="23">
        <v>2.2</v>
      </c>
      <c r="C51" s="22"/>
      <c r="D51" s="24" t="s">
        <v>170</v>
      </c>
      <c r="E51" s="22"/>
      <c r="F51" s="22"/>
      <c r="G51" s="22"/>
      <c r="H51" s="22"/>
      <c r="I51" s="22"/>
      <c r="J51" s="22"/>
      <c r="K51" s="22"/>
      <c r="L51" s="22"/>
      <c r="M51" s="22"/>
      <c r="N51" s="25">
        <v>46183</v>
      </c>
      <c r="O51" s="25">
        <v>46189</v>
      </c>
      <c r="P51" s="26">
        <v>10</v>
      </c>
      <c r="Q51" s="26">
        <v>0</v>
      </c>
      <c r="R51" s="26">
        <v>5</v>
      </c>
      <c r="S51" s="26">
        <v>0</v>
      </c>
      <c r="T51" s="27"/>
      <c r="U51" s="27"/>
      <c r="V51" s="22"/>
      <c r="W51" s="22"/>
      <c r="X51" s="26"/>
      <c r="Y51" s="22"/>
      <c r="Z51" s="28">
        <v>0</v>
      </c>
      <c r="AA51" s="37">
        <v>0</v>
      </c>
      <c r="AB51" s="22" t="str">
        <f>IFERROR(__xludf.DUMMYFUNCTION("LET(
  _PS, INT(DATE(2026,5,11)), 
  _PE, INT(DATE(2026,7,31)), 
  _TS, INT(N51), 
  _TE, INT(O51), 
  _Ref, INT(today()), 
  _Act, AA51,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1" s="26" t="s">
        <v>171</v>
      </c>
    </row>
    <row r="52" spans="1:29">
      <c r="A52" s="31"/>
      <c r="B52" s="32" t="s">
        <v>172</v>
      </c>
      <c r="C52" s="31"/>
      <c r="D52" s="31"/>
      <c r="E52" s="33" t="s">
        <v>173</v>
      </c>
      <c r="F52" s="31"/>
      <c r="G52" s="31"/>
      <c r="H52" s="31"/>
      <c r="I52" s="31"/>
      <c r="J52" s="31"/>
      <c r="K52" s="31"/>
      <c r="L52" s="31"/>
      <c r="M52" s="31"/>
      <c r="N52" s="34">
        <v>46183</v>
      </c>
      <c r="O52" s="34">
        <v>46183</v>
      </c>
      <c r="P52" s="35">
        <v>1</v>
      </c>
      <c r="Q52" s="35">
        <v>0</v>
      </c>
      <c r="R52" s="35">
        <v>1</v>
      </c>
      <c r="S52" s="35">
        <v>0</v>
      </c>
      <c r="T52" s="36"/>
      <c r="U52" s="36"/>
      <c r="V52" s="31"/>
      <c r="W52" s="31"/>
      <c r="X52" s="35"/>
      <c r="Y52" s="31"/>
      <c r="Z52" s="37">
        <v>0</v>
      </c>
      <c r="AA52" s="37">
        <v>0</v>
      </c>
      <c r="AB52" s="31" t="str">
        <f>IFERROR(__xludf.DUMMYFUNCTION("LET(
  _PS, INT(DATE(2026,5,11)), 
  _PE, INT(DATE(2026,7,31)), 
  _TS, INT(N52), 
  _TE, INT(O52), 
  _Ref, INT(today()), 
  _Act, AA52,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2" s="35" t="s">
        <v>174</v>
      </c>
    </row>
    <row r="53" spans="1:29">
      <c r="A53" s="31"/>
      <c r="B53" s="32" t="s">
        <v>175</v>
      </c>
      <c r="C53" s="31"/>
      <c r="D53" s="31"/>
      <c r="E53" s="33" t="s">
        <v>176</v>
      </c>
      <c r="F53" s="31"/>
      <c r="G53" s="31"/>
      <c r="H53" s="31"/>
      <c r="I53" s="31"/>
      <c r="J53" s="31"/>
      <c r="K53" s="31"/>
      <c r="L53" s="31"/>
      <c r="M53" s="31"/>
      <c r="N53" s="34">
        <v>46183</v>
      </c>
      <c r="O53" s="34">
        <v>46183</v>
      </c>
      <c r="P53" s="35">
        <v>1</v>
      </c>
      <c r="Q53" s="35">
        <v>0</v>
      </c>
      <c r="R53" s="35">
        <v>1</v>
      </c>
      <c r="S53" s="35">
        <v>0</v>
      </c>
      <c r="T53" s="36"/>
      <c r="U53" s="36"/>
      <c r="V53" s="31"/>
      <c r="W53" s="31"/>
      <c r="X53" s="35"/>
      <c r="Y53" s="31"/>
      <c r="Z53" s="37">
        <v>0</v>
      </c>
      <c r="AA53" s="37">
        <v>0</v>
      </c>
      <c r="AB53" s="31" t="str">
        <f>IFERROR(__xludf.DUMMYFUNCTION("LET(
  _PS, INT(DATE(2026,5,11)), 
  _PE, INT(DATE(2026,7,31)), 
  _TS, INT(N53), 
  _TE, INT(O53), 
  _Ref, INT(today()), 
  _Act, AA53,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3" s="35" t="s">
        <v>177</v>
      </c>
    </row>
    <row r="54" spans="1:29">
      <c r="A54" s="31"/>
      <c r="B54" s="32" t="s">
        <v>178</v>
      </c>
      <c r="C54" s="31"/>
      <c r="D54" s="31"/>
      <c r="E54" s="33" t="s">
        <v>179</v>
      </c>
      <c r="F54" s="31"/>
      <c r="G54" s="31"/>
      <c r="H54" s="31"/>
      <c r="I54" s="31"/>
      <c r="J54" s="31"/>
      <c r="K54" s="31"/>
      <c r="L54" s="31"/>
      <c r="M54" s="31"/>
      <c r="N54" s="34">
        <v>46184</v>
      </c>
      <c r="O54" s="34">
        <v>46184</v>
      </c>
      <c r="P54" s="35">
        <v>1</v>
      </c>
      <c r="Q54" s="35">
        <v>0</v>
      </c>
      <c r="R54" s="35">
        <v>1</v>
      </c>
      <c r="S54" s="35">
        <v>0</v>
      </c>
      <c r="T54" s="36"/>
      <c r="U54" s="36"/>
      <c r="V54" s="31"/>
      <c r="W54" s="31"/>
      <c r="X54" s="35"/>
      <c r="Y54" s="31"/>
      <c r="Z54" s="37">
        <v>0</v>
      </c>
      <c r="AA54" s="37">
        <v>0</v>
      </c>
      <c r="AB54" s="31" t="str">
        <f>IFERROR(__xludf.DUMMYFUNCTION("LET(
  _PS, INT(DATE(2026,5,11)), 
  _PE, INT(DATE(2026,7,31)), 
  _TS, INT(N54), 
  _TE, INT(O54), 
  _Ref, INT(today()), 
  _Act, AA54,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4" s="35" t="s">
        <v>180</v>
      </c>
    </row>
    <row r="55" spans="1:29">
      <c r="A55" s="31"/>
      <c r="B55" s="32" t="s">
        <v>181</v>
      </c>
      <c r="C55" s="31"/>
      <c r="D55" s="31"/>
      <c r="E55" s="33" t="s">
        <v>182</v>
      </c>
      <c r="F55" s="31"/>
      <c r="G55" s="31"/>
      <c r="H55" s="31"/>
      <c r="I55" s="31"/>
      <c r="J55" s="31"/>
      <c r="K55" s="31"/>
      <c r="L55" s="31"/>
      <c r="M55" s="31"/>
      <c r="N55" s="34">
        <v>46184</v>
      </c>
      <c r="O55" s="34">
        <v>46184</v>
      </c>
      <c r="P55" s="35">
        <v>1</v>
      </c>
      <c r="Q55" s="35">
        <v>0</v>
      </c>
      <c r="R55" s="35">
        <v>1</v>
      </c>
      <c r="S55" s="35">
        <v>0</v>
      </c>
      <c r="T55" s="36"/>
      <c r="U55" s="36"/>
      <c r="V55" s="31"/>
      <c r="W55" s="31"/>
      <c r="X55" s="35"/>
      <c r="Y55" s="31"/>
      <c r="Z55" s="37">
        <v>0</v>
      </c>
      <c r="AA55" s="37">
        <v>0</v>
      </c>
      <c r="AB55" s="31" t="str">
        <f>IFERROR(__xludf.DUMMYFUNCTION("LET(
  _PS, INT(DATE(2026,5,11)), 
  _PE, INT(DATE(2026,7,31)), 
  _TS, INT(N55), 
  _TE, INT(O55), 
  _Ref, INT(today()), 
  _Act, AA55,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5" s="35" t="s">
        <v>183</v>
      </c>
    </row>
    <row r="56" spans="1:29">
      <c r="A56" s="31"/>
      <c r="B56" s="32" t="s">
        <v>184</v>
      </c>
      <c r="C56" s="31"/>
      <c r="D56" s="31"/>
      <c r="E56" s="33" t="s">
        <v>185</v>
      </c>
      <c r="F56" s="31"/>
      <c r="G56" s="31"/>
      <c r="H56" s="31"/>
      <c r="I56" s="31"/>
      <c r="J56" s="31"/>
      <c r="K56" s="31"/>
      <c r="L56" s="31"/>
      <c r="M56" s="31"/>
      <c r="N56" s="34">
        <v>46185</v>
      </c>
      <c r="O56" s="34">
        <v>46185</v>
      </c>
      <c r="P56" s="35">
        <v>1</v>
      </c>
      <c r="Q56" s="35">
        <v>0</v>
      </c>
      <c r="R56" s="35">
        <v>1</v>
      </c>
      <c r="S56" s="35">
        <v>0</v>
      </c>
      <c r="T56" s="36"/>
      <c r="U56" s="36"/>
      <c r="V56" s="31"/>
      <c r="W56" s="31"/>
      <c r="X56" s="35"/>
      <c r="Y56" s="31"/>
      <c r="Z56" s="37">
        <v>0</v>
      </c>
      <c r="AA56" s="37">
        <v>0</v>
      </c>
      <c r="AB56" s="31" t="str">
        <f>IFERROR(__xludf.DUMMYFUNCTION("LET(
  _PS, INT(DATE(2026,5,11)), 
  _PE, INT(DATE(2026,7,31)), 
  _TS, INT(N56), 
  _TE, INT(O56), 
  _Ref, INT(today()), 
  _Act, AA56,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6" s="35" t="s">
        <v>186</v>
      </c>
    </row>
    <row r="57" spans="1:29">
      <c r="A57" s="31"/>
      <c r="B57" s="32" t="s">
        <v>187</v>
      </c>
      <c r="C57" s="31"/>
      <c r="D57" s="31"/>
      <c r="E57" s="33" t="s">
        <v>188</v>
      </c>
      <c r="F57" s="31"/>
      <c r="G57" s="31"/>
      <c r="H57" s="31"/>
      <c r="I57" s="31"/>
      <c r="J57" s="31"/>
      <c r="K57" s="31"/>
      <c r="L57" s="31"/>
      <c r="M57" s="31"/>
      <c r="N57" s="34">
        <v>46185</v>
      </c>
      <c r="O57" s="34">
        <v>46185</v>
      </c>
      <c r="P57" s="35">
        <v>1</v>
      </c>
      <c r="Q57" s="35">
        <v>0</v>
      </c>
      <c r="R57" s="35">
        <v>1</v>
      </c>
      <c r="S57" s="35">
        <v>0</v>
      </c>
      <c r="T57" s="36"/>
      <c r="U57" s="36"/>
      <c r="V57" s="31"/>
      <c r="W57" s="31"/>
      <c r="X57" s="35"/>
      <c r="Y57" s="31"/>
      <c r="Z57" s="37">
        <v>0</v>
      </c>
      <c r="AA57" s="37">
        <v>0</v>
      </c>
      <c r="AB57" s="31" t="str">
        <f>IFERROR(__xludf.DUMMYFUNCTION("LET(
  _PS, INT(DATE(2026,5,11)), 
  _PE, INT(DATE(2026,7,31)), 
  _TS, INT(N57), 
  _TE, INT(O57), 
  _Ref, INT(today()), 
  _Act, AA57,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7" s="35" t="s">
        <v>189</v>
      </c>
    </row>
    <row r="58" spans="1:29">
      <c r="A58" s="31"/>
      <c r="B58" s="32" t="s">
        <v>190</v>
      </c>
      <c r="C58" s="31"/>
      <c r="D58" s="31"/>
      <c r="E58" s="33" t="s">
        <v>191</v>
      </c>
      <c r="F58" s="31"/>
      <c r="G58" s="31"/>
      <c r="H58" s="31"/>
      <c r="I58" s="31"/>
      <c r="J58" s="31"/>
      <c r="K58" s="31"/>
      <c r="L58" s="31"/>
      <c r="M58" s="31"/>
      <c r="N58" s="34">
        <v>46188</v>
      </c>
      <c r="O58" s="34">
        <v>46188</v>
      </c>
      <c r="P58" s="35">
        <v>1</v>
      </c>
      <c r="Q58" s="35">
        <v>0</v>
      </c>
      <c r="R58" s="35">
        <v>1</v>
      </c>
      <c r="S58" s="35">
        <v>0</v>
      </c>
      <c r="T58" s="36"/>
      <c r="U58" s="36"/>
      <c r="V58" s="31"/>
      <c r="W58" s="31"/>
      <c r="X58" s="35"/>
      <c r="Y58" s="31"/>
      <c r="Z58" s="37">
        <v>0</v>
      </c>
      <c r="AA58" s="37">
        <v>0</v>
      </c>
      <c r="AB58" s="31" t="str">
        <f>IFERROR(__xludf.DUMMYFUNCTION("LET(
  _PS, INT(DATE(2026,5,11)), 
  _PE, INT(DATE(2026,7,31)), 
  _TS, INT(N58), 
  _TE, INT(O58), 
  _Ref, INT(today()), 
  _Act, AA58,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8" s="35" t="s">
        <v>192</v>
      </c>
    </row>
    <row r="59" spans="1:29">
      <c r="A59" s="31"/>
      <c r="B59" s="32" t="s">
        <v>193</v>
      </c>
      <c r="C59" s="31"/>
      <c r="D59" s="31"/>
      <c r="E59" s="33" t="s">
        <v>194</v>
      </c>
      <c r="F59" s="31"/>
      <c r="G59" s="31"/>
      <c r="H59" s="31"/>
      <c r="I59" s="31"/>
      <c r="J59" s="31"/>
      <c r="K59" s="31"/>
      <c r="L59" s="31"/>
      <c r="M59" s="31"/>
      <c r="N59" s="34">
        <v>46188</v>
      </c>
      <c r="O59" s="34">
        <v>46188</v>
      </c>
      <c r="P59" s="35">
        <v>1</v>
      </c>
      <c r="Q59" s="35">
        <v>0</v>
      </c>
      <c r="R59" s="35">
        <v>1</v>
      </c>
      <c r="S59" s="35">
        <v>0</v>
      </c>
      <c r="T59" s="36"/>
      <c r="U59" s="36"/>
      <c r="V59" s="31"/>
      <c r="W59" s="31"/>
      <c r="X59" s="35"/>
      <c r="Y59" s="31"/>
      <c r="Z59" s="37">
        <v>0</v>
      </c>
      <c r="AA59" s="37">
        <v>0</v>
      </c>
      <c r="AB59" s="31" t="str">
        <f>IFERROR(__xludf.DUMMYFUNCTION("LET(
  _PS, INT(DATE(2026,5,11)), 
  _PE, INT(DATE(2026,7,31)), 
  _TS, INT(N59), 
  _TE, INT(O59), 
  _Ref, INT(today()), 
  _Act, AA59,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59" s="35" t="s">
        <v>195</v>
      </c>
    </row>
    <row r="60" spans="1:29">
      <c r="A60" s="31"/>
      <c r="B60" s="32" t="s">
        <v>196</v>
      </c>
      <c r="C60" s="31"/>
      <c r="D60" s="31"/>
      <c r="E60" s="33" t="s">
        <v>197</v>
      </c>
      <c r="F60" s="31"/>
      <c r="G60" s="31"/>
      <c r="H60" s="31"/>
      <c r="I60" s="31"/>
      <c r="J60" s="31"/>
      <c r="K60" s="31"/>
      <c r="L60" s="31"/>
      <c r="M60" s="31"/>
      <c r="N60" s="34">
        <v>46189</v>
      </c>
      <c r="O60" s="34">
        <v>46189</v>
      </c>
      <c r="P60" s="35">
        <v>1</v>
      </c>
      <c r="Q60" s="35">
        <v>0</v>
      </c>
      <c r="R60" s="35">
        <v>1</v>
      </c>
      <c r="S60" s="35">
        <v>0</v>
      </c>
      <c r="T60" s="36"/>
      <c r="U60" s="36"/>
      <c r="V60" s="31"/>
      <c r="W60" s="31"/>
      <c r="X60" s="35"/>
      <c r="Y60" s="31"/>
      <c r="Z60" s="37">
        <v>0</v>
      </c>
      <c r="AA60" s="37">
        <v>0</v>
      </c>
      <c r="AB60" s="31" t="str">
        <f>IFERROR(__xludf.DUMMYFUNCTION("LET(
  _PS, INT(DATE(2026,5,11)), 
  _PE, INT(DATE(2026,7,31)), 
  _TS, INT(N60), 
  _TE, INT(O60), 
  _Ref, INT(today()), 
  _Act, AA60,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0" s="35" t="s">
        <v>198</v>
      </c>
    </row>
    <row r="61" spans="1:29">
      <c r="A61" s="31"/>
      <c r="B61" s="32" t="s">
        <v>199</v>
      </c>
      <c r="C61" s="31"/>
      <c r="D61" s="31"/>
      <c r="E61" s="33" t="s">
        <v>200</v>
      </c>
      <c r="F61" s="31"/>
      <c r="G61" s="31"/>
      <c r="H61" s="31"/>
      <c r="I61" s="31"/>
      <c r="J61" s="31"/>
      <c r="K61" s="31"/>
      <c r="L61" s="31"/>
      <c r="M61" s="31"/>
      <c r="N61" s="34">
        <v>46189</v>
      </c>
      <c r="O61" s="34">
        <v>46189</v>
      </c>
      <c r="P61" s="35">
        <v>1</v>
      </c>
      <c r="Q61" s="35">
        <v>0</v>
      </c>
      <c r="R61" s="35">
        <v>1</v>
      </c>
      <c r="S61" s="35">
        <v>0</v>
      </c>
      <c r="T61" s="36"/>
      <c r="U61" s="36"/>
      <c r="V61" s="31"/>
      <c r="W61" s="31"/>
      <c r="X61" s="35"/>
      <c r="Y61" s="31"/>
      <c r="Z61" s="37">
        <v>0</v>
      </c>
      <c r="AA61" s="37">
        <v>0</v>
      </c>
      <c r="AB61" s="31" t="str">
        <f>IFERROR(__xludf.DUMMYFUNCTION("LET(
  _PS, INT(DATE(2026,5,11)), 
  _PE, INT(DATE(2026,7,31)), 
  _TS, INT(N61), 
  _TE, INT(O61), 
  _Ref, INT(today()), 
  _Act, AA61,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1" s="35" t="s">
        <v>201</v>
      </c>
    </row>
    <row r="62" spans="1:29">
      <c r="A62" s="22"/>
      <c r="B62" s="23">
        <v>2.3</v>
      </c>
      <c r="C62" s="22"/>
      <c r="D62" s="24" t="s">
        <v>202</v>
      </c>
      <c r="E62" s="22"/>
      <c r="F62" s="22"/>
      <c r="G62" s="22"/>
      <c r="H62" s="22"/>
      <c r="I62" s="22"/>
      <c r="J62" s="22"/>
      <c r="K62" s="22"/>
      <c r="L62" s="22"/>
      <c r="M62" s="22"/>
      <c r="N62" s="25">
        <v>46190</v>
      </c>
      <c r="O62" s="25">
        <v>46225</v>
      </c>
      <c r="P62" s="26">
        <v>30</v>
      </c>
      <c r="Q62" s="26">
        <v>0</v>
      </c>
      <c r="R62" s="26">
        <v>25</v>
      </c>
      <c r="S62" s="26">
        <v>0</v>
      </c>
      <c r="T62" s="27"/>
      <c r="U62" s="27"/>
      <c r="V62" s="22"/>
      <c r="W62" s="22"/>
      <c r="X62" s="26"/>
      <c r="Y62" s="22"/>
      <c r="Z62" s="28">
        <v>0</v>
      </c>
      <c r="AA62" s="37">
        <v>0</v>
      </c>
      <c r="AB62" s="22" t="str">
        <f>IFERROR(__xludf.DUMMYFUNCTION("LET(
  _PS, INT(DATE(2026,5,11)), 
  _PE, INT(DATE(2026,7,31)), 
  _TS, INT(N62), 
  _TE, INT(O62), 
  _Ref, INT(today()), 
  _Act, AA62,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2" s="26" t="s">
        <v>203</v>
      </c>
    </row>
    <row r="63" spans="1:29">
      <c r="A63" s="31"/>
      <c r="B63" s="32" t="s">
        <v>204</v>
      </c>
      <c r="C63" s="31"/>
      <c r="D63" s="31"/>
      <c r="E63" s="33" t="s">
        <v>205</v>
      </c>
      <c r="F63" s="31"/>
      <c r="G63" s="31"/>
      <c r="H63" s="31"/>
      <c r="I63" s="31"/>
      <c r="J63" s="31"/>
      <c r="K63" s="31"/>
      <c r="L63" s="31"/>
      <c r="M63" s="31"/>
      <c r="N63" s="34">
        <v>46190</v>
      </c>
      <c r="O63" s="34">
        <v>46190</v>
      </c>
      <c r="P63" s="35">
        <v>1</v>
      </c>
      <c r="Q63" s="35">
        <v>0</v>
      </c>
      <c r="R63" s="35">
        <v>1</v>
      </c>
      <c r="S63" s="35">
        <v>0</v>
      </c>
      <c r="T63" s="36"/>
      <c r="U63" s="36"/>
      <c r="V63" s="31"/>
      <c r="W63" s="31"/>
      <c r="X63" s="35"/>
      <c r="Y63" s="31"/>
      <c r="Z63" s="37">
        <v>0</v>
      </c>
      <c r="AA63" s="37">
        <v>0</v>
      </c>
      <c r="AB63" s="31" t="str">
        <f>IFERROR(__xludf.DUMMYFUNCTION("LET(
  _PS, INT(DATE(2026,5,11)), 
  _PE, INT(DATE(2026,7,31)), 
  _TS, INT(N63), 
  _TE, INT(O63), 
  _Ref, INT(today()), 
  _Act, AA63,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3" s="35" t="s">
        <v>206</v>
      </c>
    </row>
    <row r="64" spans="1:29">
      <c r="A64" s="31"/>
      <c r="B64" s="32" t="s">
        <v>207</v>
      </c>
      <c r="C64" s="31"/>
      <c r="D64" s="31"/>
      <c r="E64" s="33" t="s">
        <v>208</v>
      </c>
      <c r="F64" s="31"/>
      <c r="G64" s="31"/>
      <c r="H64" s="31"/>
      <c r="I64" s="31"/>
      <c r="J64" s="31"/>
      <c r="K64" s="31"/>
      <c r="L64" s="31"/>
      <c r="M64" s="31"/>
      <c r="N64" s="34">
        <v>46190</v>
      </c>
      <c r="O64" s="34">
        <v>46190</v>
      </c>
      <c r="P64" s="35">
        <v>1</v>
      </c>
      <c r="Q64" s="35">
        <v>0</v>
      </c>
      <c r="R64" s="35">
        <v>1</v>
      </c>
      <c r="S64" s="35">
        <v>0</v>
      </c>
      <c r="T64" s="36"/>
      <c r="U64" s="36"/>
      <c r="V64" s="31"/>
      <c r="W64" s="31"/>
      <c r="X64" s="35"/>
      <c r="Y64" s="31"/>
      <c r="Z64" s="37">
        <v>0</v>
      </c>
      <c r="AA64" s="37">
        <v>0</v>
      </c>
      <c r="AB64" s="31" t="str">
        <f>IFERROR(__xludf.DUMMYFUNCTION("LET(
  _PS, INT(DATE(2026,5,11)), 
  _PE, INT(DATE(2026,7,31)), 
  _TS, INT(N64), 
  _TE, INT(O64), 
  _Ref, INT(today()), 
  _Act, AA64,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4" s="35" t="s">
        <v>209</v>
      </c>
    </row>
    <row r="65" spans="1:29">
      <c r="A65" s="31"/>
      <c r="B65" s="32" t="s">
        <v>210</v>
      </c>
      <c r="C65" s="31"/>
      <c r="D65" s="31"/>
      <c r="E65" s="33" t="s">
        <v>211</v>
      </c>
      <c r="F65" s="31"/>
      <c r="G65" s="31"/>
      <c r="H65" s="31"/>
      <c r="I65" s="31"/>
      <c r="J65" s="31"/>
      <c r="K65" s="31"/>
      <c r="L65" s="31"/>
      <c r="M65" s="31"/>
      <c r="N65" s="34">
        <v>46191</v>
      </c>
      <c r="O65" s="34">
        <v>46191</v>
      </c>
      <c r="P65" s="35">
        <v>1</v>
      </c>
      <c r="Q65" s="35">
        <v>0</v>
      </c>
      <c r="R65" s="35">
        <v>1</v>
      </c>
      <c r="S65" s="35">
        <v>0</v>
      </c>
      <c r="T65" s="36"/>
      <c r="U65" s="36"/>
      <c r="V65" s="31"/>
      <c r="W65" s="31"/>
      <c r="X65" s="35"/>
      <c r="Y65" s="31"/>
      <c r="Z65" s="37">
        <v>0</v>
      </c>
      <c r="AA65" s="37">
        <v>0</v>
      </c>
      <c r="AB65" s="31" t="str">
        <f>IFERROR(__xludf.DUMMYFUNCTION("LET(
  _PS, INT(DATE(2026,5,11)), 
  _PE, INT(DATE(2026,7,31)), 
  _TS, INT(N65), 
  _TE, INT(O65), 
  _Ref, INT(today()), 
  _Act, AA65,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5" s="35" t="s">
        <v>212</v>
      </c>
    </row>
    <row r="66" spans="1:29">
      <c r="A66" s="31"/>
      <c r="B66" s="32" t="s">
        <v>213</v>
      </c>
      <c r="C66" s="31"/>
      <c r="D66" s="35"/>
      <c r="E66" s="33" t="s">
        <v>214</v>
      </c>
      <c r="F66" s="31"/>
      <c r="G66" s="31"/>
      <c r="H66" s="31"/>
      <c r="I66" s="31"/>
      <c r="J66" s="31"/>
      <c r="K66" s="31"/>
      <c r="L66" s="31"/>
      <c r="M66" s="31"/>
      <c r="N66" s="34">
        <v>46191</v>
      </c>
      <c r="O66" s="34">
        <v>46191</v>
      </c>
      <c r="P66" s="35">
        <v>1</v>
      </c>
      <c r="Q66" s="35">
        <v>0</v>
      </c>
      <c r="R66" s="35">
        <v>1</v>
      </c>
      <c r="S66" s="35">
        <v>0</v>
      </c>
      <c r="T66" s="36"/>
      <c r="U66" s="36"/>
      <c r="V66" s="31"/>
      <c r="W66" s="31"/>
      <c r="X66" s="35"/>
      <c r="Y66" s="31"/>
      <c r="Z66" s="37">
        <v>0</v>
      </c>
      <c r="AA66" s="37">
        <v>0</v>
      </c>
      <c r="AB66" s="31" t="str">
        <f>IFERROR(__xludf.DUMMYFUNCTION("LET(
  _PS, INT(DATE(2026,5,11)), 
  _PE, INT(DATE(2026,7,31)), 
  _TS, INT(N66), 
  _TE, INT(O66), 
  _Ref, INT(today()), 
  _Act, AA66,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6" s="35" t="s">
        <v>215</v>
      </c>
    </row>
    <row r="67" spans="1:29">
      <c r="A67" s="31"/>
      <c r="B67" s="32" t="s">
        <v>216</v>
      </c>
      <c r="C67" s="31"/>
      <c r="D67" s="31"/>
      <c r="E67" s="33" t="s">
        <v>217</v>
      </c>
      <c r="F67" s="31"/>
      <c r="G67" s="31"/>
      <c r="H67" s="31"/>
      <c r="I67" s="31"/>
      <c r="J67" s="31"/>
      <c r="K67" s="31"/>
      <c r="L67" s="31"/>
      <c r="M67" s="31"/>
      <c r="N67" s="34">
        <v>46192</v>
      </c>
      <c r="O67" s="34">
        <v>46192</v>
      </c>
      <c r="P67" s="35">
        <v>1</v>
      </c>
      <c r="Q67" s="35">
        <v>0</v>
      </c>
      <c r="R67" s="35">
        <v>1</v>
      </c>
      <c r="S67" s="35">
        <v>0</v>
      </c>
      <c r="T67" s="36"/>
      <c r="U67" s="36"/>
      <c r="V67" s="31"/>
      <c r="W67" s="31"/>
      <c r="X67" s="35"/>
      <c r="Y67" s="31"/>
      <c r="Z67" s="37">
        <v>0</v>
      </c>
      <c r="AA67" s="37">
        <v>0</v>
      </c>
      <c r="AB67" s="31" t="str">
        <f>IFERROR(__xludf.DUMMYFUNCTION("LET(
  _PS, INT(DATE(2026,5,11)), 
  _PE, INT(DATE(2026,7,31)), 
  _TS, INT(N67), 
  _TE, INT(O67), 
  _Ref, INT(today()), 
  _Act, AA67,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7" s="35" t="s">
        <v>218</v>
      </c>
    </row>
    <row r="68" spans="1:29">
      <c r="A68" s="31"/>
      <c r="B68" s="32" t="s">
        <v>219</v>
      </c>
      <c r="C68" s="31"/>
      <c r="D68" s="31"/>
      <c r="E68" s="33" t="s">
        <v>220</v>
      </c>
      <c r="F68" s="31"/>
      <c r="G68" s="31"/>
      <c r="H68" s="31"/>
      <c r="I68" s="31"/>
      <c r="J68" s="31"/>
      <c r="K68" s="31"/>
      <c r="L68" s="31"/>
      <c r="M68" s="31"/>
      <c r="N68" s="34">
        <v>46192</v>
      </c>
      <c r="O68" s="34">
        <v>46192</v>
      </c>
      <c r="P68" s="35">
        <v>1</v>
      </c>
      <c r="Q68" s="35">
        <v>0</v>
      </c>
      <c r="R68" s="35">
        <v>1</v>
      </c>
      <c r="S68" s="35">
        <v>0</v>
      </c>
      <c r="T68" s="36"/>
      <c r="U68" s="36"/>
      <c r="V68" s="31"/>
      <c r="W68" s="31"/>
      <c r="X68" s="35"/>
      <c r="Y68" s="31"/>
      <c r="Z68" s="37">
        <v>0</v>
      </c>
      <c r="AA68" s="37">
        <v>0</v>
      </c>
      <c r="AB68" s="31" t="str">
        <f>IFERROR(__xludf.DUMMYFUNCTION("LET(
  _PS, INT(DATE(2026,5,11)), 
  _PE, INT(DATE(2026,7,31)), 
  _TS, INT(N68), 
  _TE, INT(O68), 
  _Ref, INT(today()), 
  _Act, AA68,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8" s="35" t="s">
        <v>221</v>
      </c>
    </row>
    <row r="69" spans="1:29">
      <c r="A69" s="31"/>
      <c r="B69" s="32" t="s">
        <v>222</v>
      </c>
      <c r="C69" s="31"/>
      <c r="D69" s="31"/>
      <c r="E69" s="33" t="s">
        <v>223</v>
      </c>
      <c r="F69" s="31"/>
      <c r="G69" s="31"/>
      <c r="H69" s="31"/>
      <c r="I69" s="31"/>
      <c r="J69" s="31"/>
      <c r="K69" s="31"/>
      <c r="L69" s="31"/>
      <c r="M69" s="31"/>
      <c r="N69" s="34">
        <v>46195</v>
      </c>
      <c r="O69" s="34">
        <v>46195</v>
      </c>
      <c r="P69" s="35">
        <v>1</v>
      </c>
      <c r="Q69" s="35">
        <v>0</v>
      </c>
      <c r="R69" s="35">
        <v>1</v>
      </c>
      <c r="S69" s="35">
        <v>0</v>
      </c>
      <c r="T69" s="36"/>
      <c r="U69" s="36"/>
      <c r="V69" s="31"/>
      <c r="W69" s="31"/>
      <c r="X69" s="35"/>
      <c r="Y69" s="31"/>
      <c r="Z69" s="37">
        <v>0</v>
      </c>
      <c r="AA69" s="37">
        <v>0</v>
      </c>
      <c r="AB69" s="31" t="str">
        <f>IFERROR(__xludf.DUMMYFUNCTION("LET(
  _PS, INT(DATE(2026,5,11)), 
  _PE, INT(DATE(2026,7,31)), 
  _TS, INT(N69), 
  _TE, INT(O69), 
  _Ref, INT(today()), 
  _Act, AA69,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69" s="35" t="s">
        <v>224</v>
      </c>
    </row>
    <row r="70" spans="1:29">
      <c r="A70" s="31"/>
      <c r="B70" s="32" t="s">
        <v>225</v>
      </c>
      <c r="C70" s="31"/>
      <c r="D70" s="31"/>
      <c r="E70" s="33" t="s">
        <v>226</v>
      </c>
      <c r="F70" s="31"/>
      <c r="G70" s="31"/>
      <c r="H70" s="31"/>
      <c r="I70" s="31"/>
      <c r="J70" s="31"/>
      <c r="K70" s="31"/>
      <c r="L70" s="31"/>
      <c r="M70" s="31"/>
      <c r="N70" s="34">
        <v>46195</v>
      </c>
      <c r="O70" s="34">
        <v>46195</v>
      </c>
      <c r="P70" s="35">
        <v>1</v>
      </c>
      <c r="Q70" s="35">
        <v>0</v>
      </c>
      <c r="R70" s="35">
        <v>1</v>
      </c>
      <c r="S70" s="35">
        <v>0</v>
      </c>
      <c r="T70" s="36"/>
      <c r="U70" s="36"/>
      <c r="V70" s="31"/>
      <c r="W70" s="31"/>
      <c r="X70" s="35"/>
      <c r="Y70" s="31"/>
      <c r="Z70" s="37">
        <v>0</v>
      </c>
      <c r="AA70" s="37">
        <v>0</v>
      </c>
      <c r="AB70" s="31" t="str">
        <f>IFERROR(__xludf.DUMMYFUNCTION("LET(
  _PS, INT(DATE(2026,5,11)), 
  _PE, INT(DATE(2026,7,31)), 
  _TS, INT(N70), 
  _TE, INT(O70), 
  _Ref, INT(today()), 
  _Act, AA70,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0" s="35" t="s">
        <v>227</v>
      </c>
    </row>
    <row r="71" spans="1:29">
      <c r="A71" s="31"/>
      <c r="B71" s="32" t="s">
        <v>228</v>
      </c>
      <c r="C71" s="31"/>
      <c r="D71" s="31"/>
      <c r="E71" s="33" t="s">
        <v>229</v>
      </c>
      <c r="F71" s="31"/>
      <c r="G71" s="31"/>
      <c r="H71" s="31"/>
      <c r="I71" s="31"/>
      <c r="J71" s="31"/>
      <c r="K71" s="31"/>
      <c r="L71" s="31"/>
      <c r="M71" s="31"/>
      <c r="N71" s="34">
        <v>46196</v>
      </c>
      <c r="O71" s="34">
        <v>46196</v>
      </c>
      <c r="P71" s="35">
        <v>1</v>
      </c>
      <c r="Q71" s="35">
        <v>0</v>
      </c>
      <c r="R71" s="35">
        <v>1</v>
      </c>
      <c r="S71" s="35">
        <v>0</v>
      </c>
      <c r="T71" s="36"/>
      <c r="U71" s="36"/>
      <c r="V71" s="31"/>
      <c r="W71" s="31"/>
      <c r="X71" s="35"/>
      <c r="Y71" s="31"/>
      <c r="Z71" s="37">
        <v>0</v>
      </c>
      <c r="AA71" s="37">
        <v>0</v>
      </c>
      <c r="AB71" s="31" t="str">
        <f>IFERROR(__xludf.DUMMYFUNCTION("LET(
  _PS, INT(DATE(2026,5,11)), 
  _PE, INT(DATE(2026,7,31)), 
  _TS, INT(N71), 
  _TE, INT(O71), 
  _Ref, INT(today()), 
  _Act, AA71,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1" s="35" t="s">
        <v>230</v>
      </c>
    </row>
    <row r="72" spans="1:29">
      <c r="A72" s="31"/>
      <c r="B72" s="32" t="s">
        <v>231</v>
      </c>
      <c r="C72" s="31"/>
      <c r="D72" s="31"/>
      <c r="E72" s="33" t="s">
        <v>232</v>
      </c>
      <c r="F72" s="31"/>
      <c r="G72" s="31"/>
      <c r="H72" s="31"/>
      <c r="I72" s="31"/>
      <c r="J72" s="31"/>
      <c r="K72" s="31"/>
      <c r="L72" s="31"/>
      <c r="M72" s="31"/>
      <c r="N72" s="34">
        <v>46196</v>
      </c>
      <c r="O72" s="34">
        <v>46196</v>
      </c>
      <c r="P72" s="35">
        <v>1</v>
      </c>
      <c r="Q72" s="35">
        <v>0</v>
      </c>
      <c r="R72" s="35">
        <v>1</v>
      </c>
      <c r="S72" s="35">
        <v>0</v>
      </c>
      <c r="T72" s="36"/>
      <c r="U72" s="36"/>
      <c r="V72" s="31"/>
      <c r="W72" s="31"/>
      <c r="X72" s="35"/>
      <c r="Y72" s="31"/>
      <c r="Z72" s="37">
        <v>0</v>
      </c>
      <c r="AA72" s="37">
        <v>0</v>
      </c>
      <c r="AB72" s="31" t="str">
        <f>IFERROR(__xludf.DUMMYFUNCTION("LET(
  _PS, INT(DATE(2026,5,11)), 
  _PE, INT(DATE(2026,7,31)), 
  _TS, INT(N72), 
  _TE, INT(O72), 
  _Ref, INT(today()), 
  _Act, AA72,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2" s="35" t="s">
        <v>233</v>
      </c>
    </row>
    <row r="73" spans="1:29">
      <c r="A73" s="31"/>
      <c r="B73" s="32" t="s">
        <v>234</v>
      </c>
      <c r="C73" s="31"/>
      <c r="D73" s="31"/>
      <c r="E73" s="33" t="s">
        <v>235</v>
      </c>
      <c r="F73" s="31"/>
      <c r="G73" s="31"/>
      <c r="H73" s="31"/>
      <c r="I73" s="31"/>
      <c r="J73" s="31"/>
      <c r="K73" s="31"/>
      <c r="L73" s="31"/>
      <c r="M73" s="31"/>
      <c r="N73" s="34">
        <v>46197</v>
      </c>
      <c r="O73" s="34">
        <v>46225</v>
      </c>
      <c r="P73" s="35">
        <v>20</v>
      </c>
      <c r="Q73" s="35">
        <v>0</v>
      </c>
      <c r="R73" s="35">
        <v>20</v>
      </c>
      <c r="S73" s="35">
        <v>0</v>
      </c>
      <c r="T73" s="36"/>
      <c r="U73" s="36"/>
      <c r="V73" s="31"/>
      <c r="W73" s="31"/>
      <c r="X73" s="35"/>
      <c r="Y73" s="31"/>
      <c r="Z73" s="37">
        <v>0</v>
      </c>
      <c r="AA73" s="37">
        <v>0</v>
      </c>
      <c r="AB73" s="31" t="str">
        <f>IFERROR(__xludf.DUMMYFUNCTION("LET(
  _PS, INT(DATE(2026,5,11)), 
  _PE, INT(DATE(2026,7,31)), 
  _TS, INT(N73), 
  _TE, INT(O73), 
  _Ref, INT(today()), 
  _Act, AA73,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3" s="35" t="s">
        <v>236</v>
      </c>
    </row>
    <row r="74" spans="1:29">
      <c r="A74" s="22"/>
      <c r="B74" s="23">
        <v>3</v>
      </c>
      <c r="C74" s="24" t="s">
        <v>237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5">
        <v>46169</v>
      </c>
      <c r="O74" s="25">
        <v>46225</v>
      </c>
      <c r="P74" s="26">
        <v>39</v>
      </c>
      <c r="Q74" s="26">
        <v>0</v>
      </c>
      <c r="R74" s="26">
        <v>39</v>
      </c>
      <c r="S74" s="26">
        <v>0</v>
      </c>
      <c r="T74" s="27"/>
      <c r="U74" s="27"/>
      <c r="V74" s="22"/>
      <c r="W74" s="22"/>
      <c r="X74" s="26"/>
      <c r="Y74" s="22"/>
      <c r="Z74" s="28">
        <v>0</v>
      </c>
      <c r="AA74" s="37">
        <v>0</v>
      </c>
      <c r="AB74" s="22" t="str">
        <f>IFERROR(__xludf.DUMMYFUNCTION("LET(
  _PS, INT(DATE(2026,5,11)), 
  _PE, INT(DATE(2026,7,31)), 
  _TS, INT(N74), 
  _TE, INT(O74), 
  _Ref, INT(today()), 
  _Act, AA74,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4" s="26" t="s">
        <v>239</v>
      </c>
    </row>
    <row r="75" spans="1:29">
      <c r="A75" s="22"/>
      <c r="B75" s="23">
        <v>3.1</v>
      </c>
      <c r="C75" s="22"/>
      <c r="D75" s="24" t="s">
        <v>240</v>
      </c>
      <c r="E75" s="22"/>
      <c r="F75" s="22"/>
      <c r="G75" s="22"/>
      <c r="H75" s="22"/>
      <c r="I75" s="22"/>
      <c r="J75" s="22"/>
      <c r="K75" s="22"/>
      <c r="L75" s="22"/>
      <c r="M75" s="22"/>
      <c r="N75" s="25">
        <v>46169</v>
      </c>
      <c r="O75" s="25">
        <v>46182</v>
      </c>
      <c r="P75" s="26">
        <v>9</v>
      </c>
      <c r="Q75" s="26">
        <v>0</v>
      </c>
      <c r="R75" s="26">
        <v>9</v>
      </c>
      <c r="S75" s="26">
        <v>0</v>
      </c>
      <c r="T75" s="27"/>
      <c r="U75" s="27"/>
      <c r="V75" s="22"/>
      <c r="W75" s="22"/>
      <c r="X75" s="26"/>
      <c r="Y75" s="22"/>
      <c r="Z75" s="28">
        <v>0</v>
      </c>
      <c r="AA75" s="37">
        <v>0</v>
      </c>
      <c r="AB75" s="22" t="str">
        <f>IFERROR(__xludf.DUMMYFUNCTION("LET(
  _PS, INT(DATE(2026,5,11)), 
  _PE, INT(DATE(2026,7,31)), 
  _TS, INT(N75), 
  _TE, INT(O75), 
  _Ref, INT(today()), 
  _Act, AA75,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5" s="26" t="s">
        <v>241</v>
      </c>
    </row>
    <row r="76" spans="1:29">
      <c r="A76" s="31"/>
      <c r="B76" s="32" t="s">
        <v>242</v>
      </c>
      <c r="C76" s="31"/>
      <c r="D76" s="31"/>
      <c r="E76" s="33" t="s">
        <v>243</v>
      </c>
      <c r="F76" s="31"/>
      <c r="G76" s="31"/>
      <c r="H76" s="31"/>
      <c r="I76" s="31"/>
      <c r="J76" s="31"/>
      <c r="K76" s="31"/>
      <c r="L76" s="31"/>
      <c r="M76" s="31"/>
      <c r="N76" s="34">
        <v>46169</v>
      </c>
      <c r="O76" s="34">
        <v>46169</v>
      </c>
      <c r="P76" s="35">
        <v>1</v>
      </c>
      <c r="Q76" s="35">
        <v>0</v>
      </c>
      <c r="R76" s="35">
        <v>1</v>
      </c>
      <c r="S76" s="35">
        <v>0</v>
      </c>
      <c r="T76" s="36"/>
      <c r="U76" s="36"/>
      <c r="V76" s="31"/>
      <c r="W76" s="31"/>
      <c r="X76" s="35"/>
      <c r="Y76" s="31"/>
      <c r="Z76" s="37">
        <v>0</v>
      </c>
      <c r="AA76" s="37">
        <v>0</v>
      </c>
      <c r="AB76" s="31" t="str">
        <f>IFERROR(__xludf.DUMMYFUNCTION("LET(
  _PS, INT(DATE(2026,5,11)), 
  _PE, INT(DATE(2026,7,31)), 
  _TS, INT(N76), 
  _TE, INT(O76), 
  _Ref, INT(today()), 
  _Act, AA76,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6" s="35" t="s">
        <v>244</v>
      </c>
    </row>
    <row r="77" spans="1:29">
      <c r="A77" s="31"/>
      <c r="B77" s="32" t="s">
        <v>245</v>
      </c>
      <c r="C77" s="31"/>
      <c r="D77" s="31"/>
      <c r="E77" s="33" t="s">
        <v>246</v>
      </c>
      <c r="F77" s="31"/>
      <c r="G77" s="31"/>
      <c r="H77" s="31"/>
      <c r="I77" s="31"/>
      <c r="J77" s="31"/>
      <c r="K77" s="31"/>
      <c r="L77" s="31"/>
      <c r="M77" s="31"/>
      <c r="N77" s="34">
        <v>46170</v>
      </c>
      <c r="O77" s="34">
        <v>46170</v>
      </c>
      <c r="P77" s="35">
        <v>1</v>
      </c>
      <c r="Q77" s="35">
        <v>0</v>
      </c>
      <c r="R77" s="35">
        <v>1</v>
      </c>
      <c r="S77" s="35">
        <v>0</v>
      </c>
      <c r="T77" s="36"/>
      <c r="U77" s="36"/>
      <c r="V77" s="31"/>
      <c r="W77" s="31"/>
      <c r="X77" s="35"/>
      <c r="Y77" s="31"/>
      <c r="Z77" s="37">
        <v>0</v>
      </c>
      <c r="AA77" s="37">
        <v>0</v>
      </c>
      <c r="AB77" s="31" t="str">
        <f>IFERROR(__xludf.DUMMYFUNCTION("LET(
  _PS, INT(DATE(2026,5,11)), 
  _PE, INT(DATE(2026,7,31)), 
  _TS, INT(N77), 
  _TE, INT(O77), 
  _Ref, INT(today()), 
  _Act, AA77,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7" s="35" t="s">
        <v>247</v>
      </c>
    </row>
    <row r="78" spans="1:29">
      <c r="A78" s="31"/>
      <c r="B78" s="32" t="s">
        <v>248</v>
      </c>
      <c r="C78" s="31"/>
      <c r="D78" s="31"/>
      <c r="E78" s="33" t="s">
        <v>249</v>
      </c>
      <c r="F78" s="31"/>
      <c r="G78" s="31"/>
      <c r="H78" s="31"/>
      <c r="I78" s="31"/>
      <c r="J78" s="31"/>
      <c r="K78" s="31"/>
      <c r="L78" s="31"/>
      <c r="M78" s="31"/>
      <c r="N78" s="34">
        <v>46171</v>
      </c>
      <c r="O78" s="34">
        <v>46171</v>
      </c>
      <c r="P78" s="35">
        <v>1</v>
      </c>
      <c r="Q78" s="35">
        <v>0</v>
      </c>
      <c r="R78" s="35">
        <v>1</v>
      </c>
      <c r="S78" s="35">
        <v>0</v>
      </c>
      <c r="T78" s="36"/>
      <c r="U78" s="36"/>
      <c r="V78" s="31"/>
      <c r="W78" s="31"/>
      <c r="X78" s="35"/>
      <c r="Y78" s="31"/>
      <c r="Z78" s="37">
        <v>0</v>
      </c>
      <c r="AA78" s="37">
        <v>0</v>
      </c>
      <c r="AB78" s="31" t="str">
        <f>IFERROR(__xludf.DUMMYFUNCTION("LET(
  _PS, INT(DATE(2026,5,11)), 
  _PE, INT(DATE(2026,7,31)), 
  _TS, INT(N78), 
  _TE, INT(O78), 
  _Ref, INT(today()), 
  _Act, AA78,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8" s="35" t="s">
        <v>250</v>
      </c>
    </row>
    <row r="79" spans="1:29">
      <c r="A79" s="31"/>
      <c r="B79" s="32" t="s">
        <v>251</v>
      </c>
      <c r="C79" s="31"/>
      <c r="D79" s="31"/>
      <c r="E79" s="33" t="s">
        <v>252</v>
      </c>
      <c r="F79" s="31"/>
      <c r="G79" s="31"/>
      <c r="H79" s="31"/>
      <c r="I79" s="31"/>
      <c r="J79" s="31"/>
      <c r="K79" s="31"/>
      <c r="L79" s="31"/>
      <c r="M79" s="31"/>
      <c r="N79" s="34">
        <v>46174</v>
      </c>
      <c r="O79" s="34">
        <v>46174</v>
      </c>
      <c r="P79" s="35">
        <v>1</v>
      </c>
      <c r="Q79" s="35">
        <v>0</v>
      </c>
      <c r="R79" s="35">
        <v>1</v>
      </c>
      <c r="S79" s="35">
        <v>0</v>
      </c>
      <c r="T79" s="36"/>
      <c r="U79" s="36"/>
      <c r="V79" s="31"/>
      <c r="W79" s="31"/>
      <c r="X79" s="35"/>
      <c r="Y79" s="31"/>
      <c r="Z79" s="37">
        <v>0</v>
      </c>
      <c r="AA79" s="37">
        <v>0</v>
      </c>
      <c r="AB79" s="31" t="str">
        <f>IFERROR(__xludf.DUMMYFUNCTION("LET(
  _PS, INT(DATE(2026,5,11)), 
  _PE, INT(DATE(2026,7,31)), 
  _TS, INT(N79), 
  _TE, INT(O79), 
  _Ref, INT(today()), 
  _Act, AA79,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79" s="35" t="s">
        <v>253</v>
      </c>
    </row>
    <row r="80" spans="1:29">
      <c r="A80" s="31"/>
      <c r="B80" s="32" t="s">
        <v>254</v>
      </c>
      <c r="C80" s="31"/>
      <c r="D80" s="31"/>
      <c r="E80" s="33" t="s">
        <v>255</v>
      </c>
      <c r="F80" s="31"/>
      <c r="G80" s="31"/>
      <c r="H80" s="31"/>
      <c r="I80" s="31"/>
      <c r="J80" s="31"/>
      <c r="K80" s="31"/>
      <c r="L80" s="31"/>
      <c r="M80" s="31"/>
      <c r="N80" s="34">
        <v>46175</v>
      </c>
      <c r="O80" s="34">
        <v>46175</v>
      </c>
      <c r="P80" s="35">
        <v>1</v>
      </c>
      <c r="Q80" s="35">
        <v>0</v>
      </c>
      <c r="R80" s="35">
        <v>1</v>
      </c>
      <c r="S80" s="35">
        <v>0</v>
      </c>
      <c r="T80" s="36"/>
      <c r="U80" s="36"/>
      <c r="V80" s="31"/>
      <c r="W80" s="31"/>
      <c r="X80" s="35"/>
      <c r="Y80" s="31"/>
      <c r="Z80" s="37">
        <v>0</v>
      </c>
      <c r="AA80" s="37">
        <v>0</v>
      </c>
      <c r="AB80" s="31" t="str">
        <f>IFERROR(__xludf.DUMMYFUNCTION("LET(
  _PS, INT(DATE(2026,5,11)), 
  _PE, INT(DATE(2026,7,31)), 
  _TS, INT(N80), 
  _TE, INT(O80), 
  _Ref, INT(today()), 
  _Act, AA80,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0" s="35" t="s">
        <v>256</v>
      </c>
    </row>
    <row r="81" spans="1:29">
      <c r="A81" s="31"/>
      <c r="B81" s="32" t="s">
        <v>257</v>
      </c>
      <c r="C81" s="31"/>
      <c r="D81" s="31"/>
      <c r="E81" s="33" t="s">
        <v>258</v>
      </c>
      <c r="F81" s="31"/>
      <c r="G81" s="31"/>
      <c r="H81" s="31"/>
      <c r="I81" s="31"/>
      <c r="J81" s="31"/>
      <c r="K81" s="31"/>
      <c r="L81" s="31"/>
      <c r="M81" s="31"/>
      <c r="N81" s="34">
        <v>46176</v>
      </c>
      <c r="O81" s="34">
        <v>46176</v>
      </c>
      <c r="P81" s="35">
        <v>0</v>
      </c>
      <c r="Q81" s="35">
        <v>0</v>
      </c>
      <c r="R81" s="35">
        <v>0</v>
      </c>
      <c r="S81" s="35">
        <v>0</v>
      </c>
      <c r="T81" s="36"/>
      <c r="U81" s="36"/>
      <c r="V81" s="31"/>
      <c r="W81" s="31"/>
      <c r="X81" s="35"/>
      <c r="Y81" s="31"/>
      <c r="Z81" s="37">
        <v>0</v>
      </c>
      <c r="AA81" s="37">
        <v>0</v>
      </c>
      <c r="AB81" s="31" t="str">
        <f>IFERROR(__xludf.DUMMYFUNCTION("LET(
  _PS, INT(DATE(2026,5,11)), 
  _PE, INT(DATE(2026,7,31)), 
  _TS, INT(N81), 
  _TE, INT(O81), 
  _Ref, INT(today()), 
  _Act, AA81,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1" s="35" t="s">
        <v>259</v>
      </c>
    </row>
    <row r="82" spans="1:29">
      <c r="A82" s="31"/>
      <c r="B82" s="32" t="s">
        <v>260</v>
      </c>
      <c r="C82" s="31"/>
      <c r="D82" s="31"/>
      <c r="E82" s="33" t="s">
        <v>261</v>
      </c>
      <c r="F82" s="31"/>
      <c r="G82" s="31"/>
      <c r="H82" s="31"/>
      <c r="I82" s="31"/>
      <c r="J82" s="31"/>
      <c r="K82" s="31"/>
      <c r="L82" s="31"/>
      <c r="M82" s="31"/>
      <c r="N82" s="34">
        <v>46177</v>
      </c>
      <c r="O82" s="34">
        <v>46177</v>
      </c>
      <c r="P82" s="35">
        <v>1</v>
      </c>
      <c r="Q82" s="35">
        <v>0</v>
      </c>
      <c r="R82" s="35">
        <v>1</v>
      </c>
      <c r="S82" s="35">
        <v>0</v>
      </c>
      <c r="T82" s="36"/>
      <c r="U82" s="36"/>
      <c r="V82" s="31"/>
      <c r="W82" s="31"/>
      <c r="X82" s="35"/>
      <c r="Y82" s="31"/>
      <c r="Z82" s="37">
        <v>0</v>
      </c>
      <c r="AA82" s="37">
        <v>0</v>
      </c>
      <c r="AB82" s="31" t="str">
        <f>IFERROR(__xludf.DUMMYFUNCTION("LET(
  _PS, INT(DATE(2026,5,11)), 
  _PE, INT(DATE(2026,7,31)), 
  _TS, INT(N82), 
  _TE, INT(O82), 
  _Ref, INT(today()), 
  _Act, AA82,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2" s="35" t="s">
        <v>262</v>
      </c>
    </row>
    <row r="83" spans="1:29">
      <c r="A83" s="31"/>
      <c r="B83" s="32" t="s">
        <v>263</v>
      </c>
      <c r="C83" s="31"/>
      <c r="D83" s="31"/>
      <c r="E83" s="33" t="s">
        <v>264</v>
      </c>
      <c r="F83" s="31"/>
      <c r="G83" s="31"/>
      <c r="H83" s="31"/>
      <c r="I83" s="31"/>
      <c r="J83" s="31"/>
      <c r="K83" s="31"/>
      <c r="L83" s="31"/>
      <c r="M83" s="31"/>
      <c r="N83" s="34">
        <v>46178</v>
      </c>
      <c r="O83" s="34">
        <v>46178</v>
      </c>
      <c r="P83" s="35">
        <v>1</v>
      </c>
      <c r="Q83" s="35">
        <v>0</v>
      </c>
      <c r="R83" s="35">
        <v>1</v>
      </c>
      <c r="S83" s="35">
        <v>0</v>
      </c>
      <c r="T83" s="36"/>
      <c r="U83" s="36"/>
      <c r="V83" s="31"/>
      <c r="W83" s="31"/>
      <c r="X83" s="35"/>
      <c r="Y83" s="31"/>
      <c r="Z83" s="37">
        <v>0</v>
      </c>
      <c r="AA83" s="37">
        <v>0</v>
      </c>
      <c r="AB83" s="31" t="str">
        <f>IFERROR(__xludf.DUMMYFUNCTION("LET(
  _PS, INT(DATE(2026,5,11)), 
  _PE, INT(DATE(2026,7,31)), 
  _TS, INT(N83), 
  _TE, INT(O83), 
  _Ref, INT(today()), 
  _Act, AA83,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3" s="35" t="s">
        <v>265</v>
      </c>
    </row>
    <row r="84" spans="1:29">
      <c r="A84" s="31"/>
      <c r="B84" s="32" t="s">
        <v>266</v>
      </c>
      <c r="C84" s="31"/>
      <c r="D84" s="31"/>
      <c r="E84" s="33" t="s">
        <v>267</v>
      </c>
      <c r="F84" s="31"/>
      <c r="G84" s="31"/>
      <c r="H84" s="31"/>
      <c r="I84" s="31"/>
      <c r="J84" s="31"/>
      <c r="K84" s="31"/>
      <c r="L84" s="31"/>
      <c r="M84" s="31"/>
      <c r="N84" s="34">
        <v>46181</v>
      </c>
      <c r="O84" s="34">
        <v>46181</v>
      </c>
      <c r="P84" s="35">
        <v>1</v>
      </c>
      <c r="Q84" s="35">
        <v>0</v>
      </c>
      <c r="R84" s="35">
        <v>1</v>
      </c>
      <c r="S84" s="35">
        <v>0</v>
      </c>
      <c r="T84" s="36"/>
      <c r="U84" s="36"/>
      <c r="V84" s="31"/>
      <c r="W84" s="31"/>
      <c r="X84" s="35"/>
      <c r="Y84" s="31"/>
      <c r="Z84" s="37">
        <v>0</v>
      </c>
      <c r="AA84" s="37">
        <v>0</v>
      </c>
      <c r="AB84" s="31" t="str">
        <f>IFERROR(__xludf.DUMMYFUNCTION("LET(
  _PS, INT(DATE(2026,5,11)), 
  _PE, INT(DATE(2026,7,31)), 
  _TS, INT(N84), 
  _TE, INT(O84), 
  _Ref, INT(today()), 
  _Act, AA84,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4" s="35" t="s">
        <v>268</v>
      </c>
    </row>
    <row r="85" spans="1:29">
      <c r="A85" s="31"/>
      <c r="B85" s="32" t="s">
        <v>269</v>
      </c>
      <c r="C85" s="31"/>
      <c r="D85" s="31"/>
      <c r="E85" s="33" t="s">
        <v>270</v>
      </c>
      <c r="F85" s="31"/>
      <c r="G85" s="31"/>
      <c r="H85" s="31"/>
      <c r="I85" s="31"/>
      <c r="J85" s="31"/>
      <c r="K85" s="31"/>
      <c r="L85" s="31"/>
      <c r="M85" s="31"/>
      <c r="N85" s="34">
        <v>46182</v>
      </c>
      <c r="O85" s="34">
        <v>46182</v>
      </c>
      <c r="P85" s="35">
        <v>1</v>
      </c>
      <c r="Q85" s="35">
        <v>0</v>
      </c>
      <c r="R85" s="35">
        <v>1</v>
      </c>
      <c r="S85" s="35">
        <v>0</v>
      </c>
      <c r="T85" s="36"/>
      <c r="U85" s="36"/>
      <c r="V85" s="31"/>
      <c r="W85" s="31"/>
      <c r="X85" s="35"/>
      <c r="Y85" s="31"/>
      <c r="Z85" s="37">
        <v>0</v>
      </c>
      <c r="AA85" s="37">
        <v>0</v>
      </c>
      <c r="AB85" s="31" t="str">
        <f>IFERROR(__xludf.DUMMYFUNCTION("LET(
  _PS, INT(DATE(2026,5,11)), 
  _PE, INT(DATE(2026,7,31)), 
  _TS, INT(N85), 
  _TE, INT(O85), 
  _Ref, INT(today()), 
  _Act, AA85,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5" s="35" t="s">
        <v>271</v>
      </c>
    </row>
    <row r="86" spans="1:29">
      <c r="A86" s="22"/>
      <c r="B86" s="23">
        <v>3.2</v>
      </c>
      <c r="C86" s="22"/>
      <c r="D86" s="24" t="s">
        <v>272</v>
      </c>
      <c r="E86" s="22"/>
      <c r="F86" s="22"/>
      <c r="G86" s="22"/>
      <c r="H86" s="22"/>
      <c r="I86" s="22"/>
      <c r="J86" s="22"/>
      <c r="K86" s="22"/>
      <c r="L86" s="22"/>
      <c r="M86" s="22"/>
      <c r="N86" s="25">
        <v>46183</v>
      </c>
      <c r="O86" s="25">
        <v>46196</v>
      </c>
      <c r="P86" s="26">
        <v>10</v>
      </c>
      <c r="Q86" s="26">
        <v>0</v>
      </c>
      <c r="R86" s="26">
        <v>10</v>
      </c>
      <c r="S86" s="26">
        <v>0</v>
      </c>
      <c r="T86" s="27"/>
      <c r="U86" s="27"/>
      <c r="V86" s="22"/>
      <c r="W86" s="22"/>
      <c r="X86" s="26"/>
      <c r="Y86" s="22"/>
      <c r="Z86" s="28">
        <v>0</v>
      </c>
      <c r="AA86" s="37">
        <v>0</v>
      </c>
      <c r="AB86" s="22" t="str">
        <f>IFERROR(__xludf.DUMMYFUNCTION("LET(
  _PS, INT(DATE(2026,5,11)), 
  _PE, INT(DATE(2026,7,31)), 
  _TS, INT(N86), 
  _TE, INT(O86), 
  _Ref, INT(today()), 
  _Act, AA86,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6" s="26" t="s">
        <v>273</v>
      </c>
    </row>
    <row r="87" spans="1:29">
      <c r="A87" s="31"/>
      <c r="B87" s="32" t="s">
        <v>274</v>
      </c>
      <c r="C87" s="31"/>
      <c r="D87" s="31"/>
      <c r="E87" s="33" t="s">
        <v>275</v>
      </c>
      <c r="F87" s="31"/>
      <c r="G87" s="31"/>
      <c r="H87" s="31"/>
      <c r="I87" s="31"/>
      <c r="J87" s="31"/>
      <c r="K87" s="31"/>
      <c r="L87" s="31"/>
      <c r="M87" s="31"/>
      <c r="N87" s="34">
        <v>46183</v>
      </c>
      <c r="O87" s="34">
        <v>46183</v>
      </c>
      <c r="P87" s="35">
        <v>1</v>
      </c>
      <c r="Q87" s="35">
        <v>0</v>
      </c>
      <c r="R87" s="35">
        <v>1</v>
      </c>
      <c r="S87" s="35">
        <v>0</v>
      </c>
      <c r="T87" s="36"/>
      <c r="U87" s="36"/>
      <c r="V87" s="31"/>
      <c r="W87" s="31"/>
      <c r="X87" s="35"/>
      <c r="Y87" s="31"/>
      <c r="Z87" s="37">
        <v>0</v>
      </c>
      <c r="AA87" s="37">
        <v>0</v>
      </c>
      <c r="AB87" s="31" t="str">
        <f>IFERROR(__xludf.DUMMYFUNCTION("LET(
  _PS, INT(DATE(2026,5,11)), 
  _PE, INT(DATE(2026,7,31)), 
  _TS, INT(N87), 
  _TE, INT(O87), 
  _Ref, INT(today()), 
  _Act, AA87,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7" s="35" t="s">
        <v>276</v>
      </c>
    </row>
    <row r="88" spans="1:29">
      <c r="A88" s="31"/>
      <c r="B88" s="32" t="s">
        <v>277</v>
      </c>
      <c r="C88" s="31"/>
      <c r="D88" s="31"/>
      <c r="E88" s="33" t="s">
        <v>278</v>
      </c>
      <c r="F88" s="31"/>
      <c r="G88" s="31"/>
      <c r="H88" s="31"/>
      <c r="I88" s="31"/>
      <c r="J88" s="31"/>
      <c r="K88" s="31"/>
      <c r="L88" s="31"/>
      <c r="M88" s="31"/>
      <c r="N88" s="34">
        <v>46184</v>
      </c>
      <c r="O88" s="34">
        <v>46184</v>
      </c>
      <c r="P88" s="35">
        <v>1</v>
      </c>
      <c r="Q88" s="35">
        <v>0</v>
      </c>
      <c r="R88" s="35">
        <v>1</v>
      </c>
      <c r="S88" s="35">
        <v>0</v>
      </c>
      <c r="T88" s="36"/>
      <c r="U88" s="36"/>
      <c r="V88" s="31"/>
      <c r="W88" s="31"/>
      <c r="X88" s="35"/>
      <c r="Y88" s="31"/>
      <c r="Z88" s="37">
        <v>0</v>
      </c>
      <c r="AA88" s="37">
        <v>0</v>
      </c>
      <c r="AB88" s="31" t="str">
        <f>IFERROR(__xludf.DUMMYFUNCTION("LET(
  _PS, INT(DATE(2026,5,11)), 
  _PE, INT(DATE(2026,7,31)), 
  _TS, INT(N88), 
  _TE, INT(O88), 
  _Ref, INT(today()), 
  _Act, AA88,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8" s="35" t="s">
        <v>279</v>
      </c>
    </row>
    <row r="89" spans="1:29">
      <c r="A89" s="31"/>
      <c r="B89" s="32" t="s">
        <v>280</v>
      </c>
      <c r="C89" s="31"/>
      <c r="D89" s="31"/>
      <c r="E89" s="33" t="s">
        <v>281</v>
      </c>
      <c r="F89" s="31"/>
      <c r="G89" s="31"/>
      <c r="H89" s="31"/>
      <c r="I89" s="31"/>
      <c r="J89" s="31"/>
      <c r="K89" s="31"/>
      <c r="L89" s="31"/>
      <c r="M89" s="31"/>
      <c r="N89" s="34">
        <v>46185</v>
      </c>
      <c r="O89" s="34">
        <v>46185</v>
      </c>
      <c r="P89" s="35">
        <v>1</v>
      </c>
      <c r="Q89" s="35">
        <v>0</v>
      </c>
      <c r="R89" s="35">
        <v>1</v>
      </c>
      <c r="S89" s="35">
        <v>0</v>
      </c>
      <c r="T89" s="36"/>
      <c r="U89" s="36"/>
      <c r="V89" s="31"/>
      <c r="W89" s="31"/>
      <c r="X89" s="35"/>
      <c r="Y89" s="31"/>
      <c r="Z89" s="37">
        <v>0</v>
      </c>
      <c r="AA89" s="37">
        <v>0</v>
      </c>
      <c r="AB89" s="31" t="str">
        <f>IFERROR(__xludf.DUMMYFUNCTION("LET(
  _PS, INT(DATE(2026,5,11)), 
  _PE, INT(DATE(2026,7,31)), 
  _TS, INT(N89), 
  _TE, INT(O89), 
  _Ref, INT(today()), 
  _Act, AA89,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89" s="35" t="s">
        <v>282</v>
      </c>
    </row>
    <row r="90" spans="1:29">
      <c r="A90" s="31"/>
      <c r="B90" s="32" t="s">
        <v>283</v>
      </c>
      <c r="C90" s="31"/>
      <c r="D90" s="31"/>
      <c r="E90" s="33" t="s">
        <v>284</v>
      </c>
      <c r="F90" s="31"/>
      <c r="G90" s="31"/>
      <c r="H90" s="31"/>
      <c r="I90" s="31"/>
      <c r="J90" s="31"/>
      <c r="K90" s="31"/>
      <c r="L90" s="31"/>
      <c r="M90" s="31"/>
      <c r="N90" s="34">
        <v>46188</v>
      </c>
      <c r="O90" s="34">
        <v>46188</v>
      </c>
      <c r="P90" s="35">
        <v>1</v>
      </c>
      <c r="Q90" s="35">
        <v>0</v>
      </c>
      <c r="R90" s="35">
        <v>1</v>
      </c>
      <c r="S90" s="35">
        <v>0</v>
      </c>
      <c r="T90" s="36"/>
      <c r="U90" s="36"/>
      <c r="V90" s="31"/>
      <c r="W90" s="31"/>
      <c r="X90" s="35"/>
      <c r="Y90" s="31"/>
      <c r="Z90" s="37">
        <v>0</v>
      </c>
      <c r="AA90" s="37">
        <v>0</v>
      </c>
      <c r="AB90" s="31" t="str">
        <f>IFERROR(__xludf.DUMMYFUNCTION("LET(
  _PS, INT(DATE(2026,5,11)), 
  _PE, INT(DATE(2026,7,31)), 
  _TS, INT(N90), 
  _TE, INT(O90), 
  _Ref, INT(today()), 
  _Act, AA90,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0" s="35" t="s">
        <v>285</v>
      </c>
    </row>
    <row r="91" spans="1:29">
      <c r="A91" s="31"/>
      <c r="B91" s="32" t="s">
        <v>286</v>
      </c>
      <c r="C91" s="31"/>
      <c r="D91" s="31"/>
      <c r="E91" s="33" t="s">
        <v>287</v>
      </c>
      <c r="F91" s="31"/>
      <c r="G91" s="31"/>
      <c r="H91" s="31"/>
      <c r="I91" s="31"/>
      <c r="J91" s="31"/>
      <c r="K91" s="31"/>
      <c r="L91" s="31"/>
      <c r="M91" s="31"/>
      <c r="N91" s="34">
        <v>46189</v>
      </c>
      <c r="O91" s="34">
        <v>46189</v>
      </c>
      <c r="P91" s="35">
        <v>1</v>
      </c>
      <c r="Q91" s="35">
        <v>0</v>
      </c>
      <c r="R91" s="35">
        <v>1</v>
      </c>
      <c r="S91" s="35">
        <v>0</v>
      </c>
      <c r="T91" s="36"/>
      <c r="U91" s="36"/>
      <c r="V91" s="31"/>
      <c r="W91" s="31"/>
      <c r="X91" s="35"/>
      <c r="Y91" s="31"/>
      <c r="Z91" s="37">
        <v>0</v>
      </c>
      <c r="AA91" s="37">
        <v>0</v>
      </c>
      <c r="AB91" s="31" t="str">
        <f>IFERROR(__xludf.DUMMYFUNCTION("LET(
  _PS, INT(DATE(2026,5,11)), 
  _PE, INT(DATE(2026,7,31)), 
  _TS, INT(N91), 
  _TE, INT(O91), 
  _Ref, INT(today()), 
  _Act, AA91,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1" s="35" t="s">
        <v>288</v>
      </c>
    </row>
    <row r="92" spans="1:29">
      <c r="A92" s="31"/>
      <c r="B92" s="32" t="s">
        <v>289</v>
      </c>
      <c r="C92" s="31"/>
      <c r="D92" s="31"/>
      <c r="E92" s="33" t="s">
        <v>290</v>
      </c>
      <c r="F92" s="31"/>
      <c r="G92" s="31"/>
      <c r="H92" s="31"/>
      <c r="I92" s="31"/>
      <c r="J92" s="31"/>
      <c r="K92" s="31"/>
      <c r="L92" s="31"/>
      <c r="M92" s="31"/>
      <c r="N92" s="34">
        <v>46190</v>
      </c>
      <c r="O92" s="34">
        <v>46190</v>
      </c>
      <c r="P92" s="35">
        <v>1</v>
      </c>
      <c r="Q92" s="35">
        <v>0</v>
      </c>
      <c r="R92" s="35">
        <v>1</v>
      </c>
      <c r="S92" s="35">
        <v>0</v>
      </c>
      <c r="T92" s="36"/>
      <c r="U92" s="36"/>
      <c r="V92" s="31"/>
      <c r="W92" s="31"/>
      <c r="X92" s="35"/>
      <c r="Y92" s="31"/>
      <c r="Z92" s="37">
        <v>0</v>
      </c>
      <c r="AA92" s="37">
        <v>0</v>
      </c>
      <c r="AB92" s="31" t="str">
        <f>IFERROR(__xludf.DUMMYFUNCTION("LET(
  _PS, INT(DATE(2026,5,11)), 
  _PE, INT(DATE(2026,7,31)), 
  _TS, INT(N92), 
  _TE, INT(O92), 
  _Ref, INT(today()), 
  _Act, AA92,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2" s="35" t="s">
        <v>291</v>
      </c>
    </row>
    <row r="93" spans="1:29">
      <c r="A93" s="31"/>
      <c r="B93" s="32" t="s">
        <v>292</v>
      </c>
      <c r="C93" s="31"/>
      <c r="D93" s="31"/>
      <c r="E93" s="33" t="s">
        <v>293</v>
      </c>
      <c r="F93" s="31"/>
      <c r="G93" s="31"/>
      <c r="H93" s="31"/>
      <c r="I93" s="31"/>
      <c r="J93" s="31"/>
      <c r="K93" s="31"/>
      <c r="L93" s="31"/>
      <c r="M93" s="31"/>
      <c r="N93" s="34">
        <v>46191</v>
      </c>
      <c r="O93" s="34">
        <v>46191</v>
      </c>
      <c r="P93" s="35">
        <v>1</v>
      </c>
      <c r="Q93" s="35">
        <v>0</v>
      </c>
      <c r="R93" s="35">
        <v>1</v>
      </c>
      <c r="S93" s="35">
        <v>0</v>
      </c>
      <c r="T93" s="36"/>
      <c r="U93" s="36"/>
      <c r="V93" s="31"/>
      <c r="W93" s="31"/>
      <c r="X93" s="35"/>
      <c r="Y93" s="31"/>
      <c r="Z93" s="37">
        <v>0</v>
      </c>
      <c r="AA93" s="37">
        <v>0</v>
      </c>
      <c r="AB93" s="31" t="str">
        <f>IFERROR(__xludf.DUMMYFUNCTION("LET(
  _PS, INT(DATE(2026,5,11)), 
  _PE, INT(DATE(2026,7,31)), 
  _TS, INT(N93), 
  _TE, INT(O93), 
  _Ref, INT(today()), 
  _Act, AA93,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3" s="35" t="s">
        <v>294</v>
      </c>
    </row>
    <row r="94" spans="1:29">
      <c r="A94" s="31"/>
      <c r="B94" s="32" t="s">
        <v>295</v>
      </c>
      <c r="C94" s="31"/>
      <c r="D94" s="31"/>
      <c r="E94" s="33" t="s">
        <v>296</v>
      </c>
      <c r="F94" s="31"/>
      <c r="G94" s="31"/>
      <c r="H94" s="31"/>
      <c r="I94" s="31"/>
      <c r="J94" s="31"/>
      <c r="K94" s="31"/>
      <c r="L94" s="31"/>
      <c r="M94" s="31"/>
      <c r="N94" s="34">
        <v>46192</v>
      </c>
      <c r="O94" s="34">
        <v>46192</v>
      </c>
      <c r="P94" s="35">
        <v>1</v>
      </c>
      <c r="Q94" s="35">
        <v>0</v>
      </c>
      <c r="R94" s="35">
        <v>1</v>
      </c>
      <c r="S94" s="35">
        <v>0</v>
      </c>
      <c r="T94" s="36"/>
      <c r="U94" s="36"/>
      <c r="V94" s="31"/>
      <c r="W94" s="31"/>
      <c r="X94" s="35"/>
      <c r="Y94" s="31"/>
      <c r="Z94" s="37">
        <v>0</v>
      </c>
      <c r="AA94" s="37">
        <v>0</v>
      </c>
      <c r="AB94" s="31" t="str">
        <f>IFERROR(__xludf.DUMMYFUNCTION("LET(
  _PS, INT(DATE(2026,5,11)), 
  _PE, INT(DATE(2026,7,31)), 
  _TS, INT(N94), 
  _TE, INT(O94), 
  _Ref, INT(today()), 
  _Act, AA94,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4" s="35" t="s">
        <v>297</v>
      </c>
    </row>
    <row r="95" spans="1:29">
      <c r="A95" s="31"/>
      <c r="B95" s="32" t="s">
        <v>298</v>
      </c>
      <c r="C95" s="31"/>
      <c r="D95" s="31"/>
      <c r="E95" s="33" t="s">
        <v>299</v>
      </c>
      <c r="F95" s="31"/>
      <c r="G95" s="31"/>
      <c r="H95" s="31"/>
      <c r="I95" s="31"/>
      <c r="J95" s="31"/>
      <c r="K95" s="31"/>
      <c r="L95" s="31"/>
      <c r="M95" s="31"/>
      <c r="N95" s="34">
        <v>46195</v>
      </c>
      <c r="O95" s="34">
        <v>46195</v>
      </c>
      <c r="P95" s="35">
        <v>1</v>
      </c>
      <c r="Q95" s="35">
        <v>0</v>
      </c>
      <c r="R95" s="35">
        <v>1</v>
      </c>
      <c r="S95" s="35">
        <v>0</v>
      </c>
      <c r="T95" s="36"/>
      <c r="U95" s="36"/>
      <c r="V95" s="31"/>
      <c r="W95" s="31"/>
      <c r="X95" s="35"/>
      <c r="Y95" s="31"/>
      <c r="Z95" s="37">
        <v>0</v>
      </c>
      <c r="AA95" s="37">
        <v>0</v>
      </c>
      <c r="AB95" s="31" t="str">
        <f>IFERROR(__xludf.DUMMYFUNCTION("LET(
  _PS, INT(DATE(2026,5,11)), 
  _PE, INT(DATE(2026,7,31)), 
  _TS, INT(N95), 
  _TE, INT(O95), 
  _Ref, INT(today()), 
  _Act, AA95,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5" s="35" t="s">
        <v>300</v>
      </c>
    </row>
    <row r="96" spans="1:29">
      <c r="A96" s="31"/>
      <c r="B96" s="32" t="s">
        <v>301</v>
      </c>
      <c r="C96" s="31"/>
      <c r="D96" s="31"/>
      <c r="E96" s="33" t="s">
        <v>302</v>
      </c>
      <c r="F96" s="31"/>
      <c r="G96" s="31"/>
      <c r="H96" s="31"/>
      <c r="I96" s="31"/>
      <c r="J96" s="31"/>
      <c r="K96" s="31"/>
      <c r="L96" s="31"/>
      <c r="M96" s="31"/>
      <c r="N96" s="34">
        <v>46196</v>
      </c>
      <c r="O96" s="34">
        <v>46196</v>
      </c>
      <c r="P96" s="35">
        <v>1</v>
      </c>
      <c r="Q96" s="35">
        <v>0</v>
      </c>
      <c r="R96" s="35">
        <v>1</v>
      </c>
      <c r="S96" s="35">
        <v>0</v>
      </c>
      <c r="T96" s="36"/>
      <c r="U96" s="36"/>
      <c r="V96" s="31"/>
      <c r="W96" s="31"/>
      <c r="X96" s="35"/>
      <c r="Y96" s="31"/>
      <c r="Z96" s="37">
        <v>0</v>
      </c>
      <c r="AA96" s="37">
        <v>0</v>
      </c>
      <c r="AB96" s="31" t="str">
        <f>IFERROR(__xludf.DUMMYFUNCTION("LET(
  _PS, INT(DATE(2026,5,11)), 
  _PE, INT(DATE(2026,7,31)), 
  _TS, INT(N96), 
  _TE, INT(O96), 
  _Ref, INT(today()), 
  _Act, AA96,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6" s="35" t="s">
        <v>303</v>
      </c>
    </row>
    <row r="97" spans="1:29">
      <c r="A97" s="22"/>
      <c r="B97" s="23">
        <v>3.3</v>
      </c>
      <c r="C97" s="22"/>
      <c r="D97" s="24" t="s">
        <v>304</v>
      </c>
      <c r="E97" s="22"/>
      <c r="F97" s="22"/>
      <c r="G97" s="22"/>
      <c r="H97" s="22"/>
      <c r="I97" s="22"/>
      <c r="J97" s="22"/>
      <c r="K97" s="22"/>
      <c r="L97" s="22"/>
      <c r="M97" s="22"/>
      <c r="N97" s="25">
        <v>46197</v>
      </c>
      <c r="O97" s="25">
        <v>46210</v>
      </c>
      <c r="P97" s="26">
        <v>10</v>
      </c>
      <c r="Q97" s="26">
        <v>0</v>
      </c>
      <c r="R97" s="26">
        <v>10</v>
      </c>
      <c r="S97" s="26">
        <v>0</v>
      </c>
      <c r="T97" s="27"/>
      <c r="U97" s="27"/>
      <c r="V97" s="22"/>
      <c r="W97" s="22"/>
      <c r="X97" s="26"/>
      <c r="Y97" s="22"/>
      <c r="Z97" s="28">
        <v>0</v>
      </c>
      <c r="AA97" s="37">
        <v>0</v>
      </c>
      <c r="AB97" s="22" t="str">
        <f>IFERROR(__xludf.DUMMYFUNCTION("LET(
  _PS, INT(DATE(2026,5,11)), 
  _PE, INT(DATE(2026,7,31)), 
  _TS, INT(N97), 
  _TE, INT(O97), 
  _Ref, INT(today()), 
  _Act, AA97,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7" s="26" t="s">
        <v>305</v>
      </c>
    </row>
    <row r="98" spans="1:29">
      <c r="A98" s="31"/>
      <c r="B98" s="32" t="s">
        <v>306</v>
      </c>
      <c r="C98" s="31"/>
      <c r="D98" s="31"/>
      <c r="E98" s="33" t="s">
        <v>307</v>
      </c>
      <c r="F98" s="31"/>
      <c r="G98" s="31"/>
      <c r="H98" s="31"/>
      <c r="I98" s="31"/>
      <c r="J98" s="31"/>
      <c r="K98" s="31"/>
      <c r="L98" s="31"/>
      <c r="M98" s="31"/>
      <c r="N98" s="34">
        <v>46197</v>
      </c>
      <c r="O98" s="34">
        <v>46197</v>
      </c>
      <c r="P98" s="35">
        <v>1</v>
      </c>
      <c r="Q98" s="35">
        <v>0</v>
      </c>
      <c r="R98" s="35">
        <v>1</v>
      </c>
      <c r="S98" s="35">
        <v>0</v>
      </c>
      <c r="T98" s="36"/>
      <c r="U98" s="36"/>
      <c r="V98" s="31"/>
      <c r="W98" s="31"/>
      <c r="X98" s="35"/>
      <c r="Y98" s="31"/>
      <c r="Z98" s="37">
        <v>0</v>
      </c>
      <c r="AA98" s="37">
        <v>0</v>
      </c>
      <c r="AB98" s="31" t="str">
        <f>IFERROR(__xludf.DUMMYFUNCTION("LET(
  _PS, INT(DATE(2026,5,11)), 
  _PE, INT(DATE(2026,7,31)), 
  _TS, INT(N98), 
  _TE, INT(O98), 
  _Ref, INT(today()), 
  _Act, AA98,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8" s="35" t="s">
        <v>308</v>
      </c>
    </row>
    <row r="99" spans="1:29">
      <c r="A99" s="31"/>
      <c r="B99" s="32" t="s">
        <v>309</v>
      </c>
      <c r="C99" s="31"/>
      <c r="D99" s="31"/>
      <c r="E99" s="33" t="s">
        <v>310</v>
      </c>
      <c r="F99" s="31"/>
      <c r="G99" s="31"/>
      <c r="H99" s="31"/>
      <c r="I99" s="31"/>
      <c r="J99" s="31"/>
      <c r="K99" s="31"/>
      <c r="L99" s="31"/>
      <c r="M99" s="31"/>
      <c r="N99" s="34">
        <v>46198</v>
      </c>
      <c r="O99" s="34">
        <v>46198</v>
      </c>
      <c r="P99" s="35">
        <v>1</v>
      </c>
      <c r="Q99" s="35">
        <v>0</v>
      </c>
      <c r="R99" s="35">
        <v>1</v>
      </c>
      <c r="S99" s="35">
        <v>0</v>
      </c>
      <c r="T99" s="36"/>
      <c r="U99" s="36"/>
      <c r="V99" s="31"/>
      <c r="W99" s="31"/>
      <c r="X99" s="35"/>
      <c r="Y99" s="31"/>
      <c r="Z99" s="37">
        <v>0</v>
      </c>
      <c r="AA99" s="37">
        <v>0</v>
      </c>
      <c r="AB99" s="31" t="str">
        <f>IFERROR(__xludf.DUMMYFUNCTION("LET(
  _PS, INT(DATE(2026,5,11)), 
  _PE, INT(DATE(2026,7,31)), 
  _TS, INT(N99), 
  _TE, INT(O99), 
  _Ref, INT(today()), 
  _Act, AA99, 
  _Color, IF(_Act=1, ""#B7B7B7"", IF(_Ref&gt;_TE, ""red"", ""#5badff"")), 
  _Seg1, MAX(0, MIN(_TS-_PS, _Ref-_PS)), 
  "&amp;"_Seg2, MAX(0, MIN(_TE-_PS+1, _Ref-_PS) - MAX(0, _TS-_PS)), 
  _Seg3, MAX(0, (_Ref-_PS) - (_Seg1 + _Seg2)), 
  _Seg4, 0.48625, 
  _Seg5, MAX(0, _TS - _Ref - 1), 
  _Seg6, MAX(0, (_TE-_PS+1) - MAX(_TS-_PS, _Ref-_PS+1)), 
  SPARKLINE(
    {_Seg1, _Seg2, _Seg"&amp;"3,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99" s="35" t="s">
        <v>311</v>
      </c>
    </row>
    <row r="100" spans="1:29">
      <c r="A100" s="31"/>
      <c r="B100" s="32" t="s">
        <v>312</v>
      </c>
      <c r="C100" s="31"/>
      <c r="D100" s="31"/>
      <c r="E100" s="33" t="s">
        <v>313</v>
      </c>
      <c r="F100" s="31"/>
      <c r="G100" s="31"/>
      <c r="H100" s="31"/>
      <c r="I100" s="31"/>
      <c r="J100" s="31"/>
      <c r="K100" s="31"/>
      <c r="L100" s="31"/>
      <c r="M100" s="31"/>
      <c r="N100" s="34">
        <v>46199</v>
      </c>
      <c r="O100" s="34">
        <v>46199</v>
      </c>
      <c r="P100" s="35">
        <v>1</v>
      </c>
      <c r="Q100" s="35">
        <v>0</v>
      </c>
      <c r="R100" s="35">
        <v>1</v>
      </c>
      <c r="S100" s="35">
        <v>0</v>
      </c>
      <c r="T100" s="36"/>
      <c r="U100" s="36"/>
      <c r="V100" s="31"/>
      <c r="W100" s="31"/>
      <c r="X100" s="35"/>
      <c r="Y100" s="31"/>
      <c r="Z100" s="37">
        <v>0</v>
      </c>
      <c r="AA100" s="37">
        <v>0</v>
      </c>
      <c r="AB100" s="31" t="str">
        <f>IFERROR(__xludf.DUMMYFUNCTION("LET(
  _PS, INT(DATE(2026,5,11)), 
  _PE, INT(DATE(2026,7,31)), 
  _TS, INT(N100), 
  _TE, INT(O100), 
  _Ref, INT(today()), 
  _Act, AA100,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0" s="35" t="s">
        <v>314</v>
      </c>
    </row>
    <row r="101" spans="1:29">
      <c r="A101" s="31"/>
      <c r="B101" s="32" t="s">
        <v>315</v>
      </c>
      <c r="C101" s="31"/>
      <c r="D101" s="35"/>
      <c r="E101" s="33" t="s">
        <v>316</v>
      </c>
      <c r="F101" s="31"/>
      <c r="G101" s="31"/>
      <c r="H101" s="31"/>
      <c r="I101" s="31"/>
      <c r="J101" s="31"/>
      <c r="K101" s="31"/>
      <c r="L101" s="31"/>
      <c r="M101" s="31"/>
      <c r="N101" s="34">
        <v>46202</v>
      </c>
      <c r="O101" s="34">
        <v>46202</v>
      </c>
      <c r="P101" s="35">
        <v>1</v>
      </c>
      <c r="Q101" s="35">
        <v>0</v>
      </c>
      <c r="R101" s="35">
        <v>1</v>
      </c>
      <c r="S101" s="35">
        <v>0</v>
      </c>
      <c r="T101" s="36"/>
      <c r="U101" s="36"/>
      <c r="V101" s="31"/>
      <c r="W101" s="31"/>
      <c r="X101" s="35"/>
      <c r="Y101" s="31"/>
      <c r="Z101" s="37">
        <v>0</v>
      </c>
      <c r="AA101" s="37">
        <v>0</v>
      </c>
      <c r="AB101" s="31" t="str">
        <f>IFERROR(__xludf.DUMMYFUNCTION("LET(
  _PS, INT(DATE(2026,5,11)), 
  _PE, INT(DATE(2026,7,31)), 
  _TS, INT(N101), 
  _TE, INT(O101), 
  _Ref, INT(today()), 
  _Act, AA101,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1" s="35" t="s">
        <v>317</v>
      </c>
    </row>
    <row r="102" spans="1:29">
      <c r="A102" s="31"/>
      <c r="B102" s="32" t="s">
        <v>318</v>
      </c>
      <c r="C102" s="31"/>
      <c r="D102" s="31"/>
      <c r="E102" s="33" t="s">
        <v>319</v>
      </c>
      <c r="F102" s="31"/>
      <c r="G102" s="31"/>
      <c r="H102" s="31"/>
      <c r="I102" s="31"/>
      <c r="J102" s="31"/>
      <c r="K102" s="31"/>
      <c r="L102" s="31"/>
      <c r="M102" s="31"/>
      <c r="N102" s="34">
        <v>46203</v>
      </c>
      <c r="O102" s="34">
        <v>46203</v>
      </c>
      <c r="P102" s="35">
        <v>1</v>
      </c>
      <c r="Q102" s="35">
        <v>0</v>
      </c>
      <c r="R102" s="35">
        <v>1</v>
      </c>
      <c r="S102" s="35">
        <v>0</v>
      </c>
      <c r="T102" s="36"/>
      <c r="U102" s="36"/>
      <c r="V102" s="31"/>
      <c r="W102" s="31"/>
      <c r="X102" s="35"/>
      <c r="Y102" s="31"/>
      <c r="Z102" s="37">
        <v>0</v>
      </c>
      <c r="AA102" s="37">
        <v>0</v>
      </c>
      <c r="AB102" s="31" t="str">
        <f>IFERROR(__xludf.DUMMYFUNCTION("LET(
  _PS, INT(DATE(2026,5,11)), 
  _PE, INT(DATE(2026,7,31)), 
  _TS, INT(N102), 
  _TE, INT(O102), 
  _Ref, INT(today()), 
  _Act, AA102,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2" s="35" t="s">
        <v>320</v>
      </c>
    </row>
    <row r="103" spans="1:29">
      <c r="A103" s="31"/>
      <c r="B103" s="32" t="s">
        <v>321</v>
      </c>
      <c r="C103" s="31"/>
      <c r="D103" s="31"/>
      <c r="E103" s="33" t="s">
        <v>322</v>
      </c>
      <c r="F103" s="31"/>
      <c r="G103" s="31"/>
      <c r="H103" s="31"/>
      <c r="I103" s="31"/>
      <c r="J103" s="31"/>
      <c r="K103" s="31"/>
      <c r="L103" s="31"/>
      <c r="M103" s="31"/>
      <c r="N103" s="34">
        <v>46204</v>
      </c>
      <c r="O103" s="34">
        <v>46204</v>
      </c>
      <c r="P103" s="35">
        <v>1</v>
      </c>
      <c r="Q103" s="35">
        <v>0</v>
      </c>
      <c r="R103" s="35">
        <v>1</v>
      </c>
      <c r="S103" s="35">
        <v>0</v>
      </c>
      <c r="T103" s="36"/>
      <c r="U103" s="36"/>
      <c r="V103" s="31"/>
      <c r="W103" s="31"/>
      <c r="X103" s="35"/>
      <c r="Y103" s="31"/>
      <c r="Z103" s="37">
        <v>0</v>
      </c>
      <c r="AA103" s="37">
        <v>0</v>
      </c>
      <c r="AB103" s="31" t="str">
        <f>IFERROR(__xludf.DUMMYFUNCTION("LET(
  _PS, INT(DATE(2026,5,11)), 
  _PE, INT(DATE(2026,7,31)), 
  _TS, INT(N103), 
  _TE, INT(O103), 
  _Ref, INT(today()), 
  _Act, AA103,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3" s="35" t="s">
        <v>323</v>
      </c>
    </row>
    <row r="104" spans="1:29">
      <c r="A104" s="31"/>
      <c r="B104" s="32" t="s">
        <v>324</v>
      </c>
      <c r="C104" s="31"/>
      <c r="D104" s="31"/>
      <c r="E104" s="33" t="s">
        <v>325</v>
      </c>
      <c r="F104" s="31"/>
      <c r="G104" s="31"/>
      <c r="H104" s="31"/>
      <c r="I104" s="31"/>
      <c r="J104" s="31"/>
      <c r="K104" s="31"/>
      <c r="L104" s="31"/>
      <c r="M104" s="31"/>
      <c r="N104" s="34">
        <v>46205</v>
      </c>
      <c r="O104" s="34">
        <v>46205</v>
      </c>
      <c r="P104" s="35">
        <v>1</v>
      </c>
      <c r="Q104" s="35">
        <v>0</v>
      </c>
      <c r="R104" s="35">
        <v>1</v>
      </c>
      <c r="S104" s="35">
        <v>0</v>
      </c>
      <c r="T104" s="36"/>
      <c r="U104" s="36"/>
      <c r="V104" s="31"/>
      <c r="W104" s="31"/>
      <c r="X104" s="35"/>
      <c r="Y104" s="31"/>
      <c r="Z104" s="37">
        <v>0</v>
      </c>
      <c r="AA104" s="37">
        <v>0</v>
      </c>
      <c r="AB104" s="31" t="str">
        <f>IFERROR(__xludf.DUMMYFUNCTION("LET(
  _PS, INT(DATE(2026,5,11)), 
  _PE, INT(DATE(2026,7,31)), 
  _TS, INT(N104), 
  _TE, INT(O104), 
  _Ref, INT(today()), 
  _Act, AA104,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4" s="35" t="s">
        <v>326</v>
      </c>
    </row>
    <row r="105" spans="1:29">
      <c r="A105" s="31"/>
      <c r="B105" s="32" t="s">
        <v>327</v>
      </c>
      <c r="C105" s="31"/>
      <c r="D105" s="31"/>
      <c r="E105" s="33" t="s">
        <v>328</v>
      </c>
      <c r="F105" s="31"/>
      <c r="G105" s="31"/>
      <c r="H105" s="31"/>
      <c r="I105" s="31"/>
      <c r="J105" s="31"/>
      <c r="K105" s="31"/>
      <c r="L105" s="31"/>
      <c r="M105" s="31"/>
      <c r="N105" s="34">
        <v>46206</v>
      </c>
      <c r="O105" s="34">
        <v>46206</v>
      </c>
      <c r="P105" s="35">
        <v>1</v>
      </c>
      <c r="Q105" s="35">
        <v>0</v>
      </c>
      <c r="R105" s="35">
        <v>1</v>
      </c>
      <c r="S105" s="35">
        <v>0</v>
      </c>
      <c r="T105" s="36"/>
      <c r="U105" s="36"/>
      <c r="V105" s="31"/>
      <c r="W105" s="31"/>
      <c r="X105" s="35"/>
      <c r="Y105" s="31"/>
      <c r="Z105" s="37">
        <v>0</v>
      </c>
      <c r="AA105" s="37">
        <v>0</v>
      </c>
      <c r="AB105" s="31" t="str">
        <f>IFERROR(__xludf.DUMMYFUNCTION("LET(
  _PS, INT(DATE(2026,5,11)), 
  _PE, INT(DATE(2026,7,31)), 
  _TS, INT(N105), 
  _TE, INT(O105), 
  _Ref, INT(today()), 
  _Act, AA105,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5" s="35" t="s">
        <v>329</v>
      </c>
    </row>
    <row r="106" spans="1:29">
      <c r="A106" s="31"/>
      <c r="B106" s="32" t="s">
        <v>330</v>
      </c>
      <c r="C106" s="31"/>
      <c r="D106" s="31"/>
      <c r="E106" s="33" t="s">
        <v>331</v>
      </c>
      <c r="F106" s="31"/>
      <c r="G106" s="31"/>
      <c r="H106" s="31"/>
      <c r="I106" s="31"/>
      <c r="J106" s="31"/>
      <c r="K106" s="31"/>
      <c r="L106" s="31"/>
      <c r="M106" s="31"/>
      <c r="N106" s="34">
        <v>46209</v>
      </c>
      <c r="O106" s="34">
        <v>46209</v>
      </c>
      <c r="P106" s="35">
        <v>1</v>
      </c>
      <c r="Q106" s="35">
        <v>0</v>
      </c>
      <c r="R106" s="35">
        <v>1</v>
      </c>
      <c r="S106" s="35">
        <v>0</v>
      </c>
      <c r="T106" s="36"/>
      <c r="U106" s="36"/>
      <c r="V106" s="31"/>
      <c r="W106" s="31"/>
      <c r="X106" s="35"/>
      <c r="Y106" s="31"/>
      <c r="Z106" s="37">
        <v>0</v>
      </c>
      <c r="AA106" s="37">
        <v>0</v>
      </c>
      <c r="AB106" s="31" t="str">
        <f>IFERROR(__xludf.DUMMYFUNCTION("LET(
  _PS, INT(DATE(2026,5,11)), 
  _PE, INT(DATE(2026,7,31)), 
  _TS, INT(N106), 
  _TE, INT(O106), 
  _Ref, INT(today()), 
  _Act, AA106,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6" s="35" t="s">
        <v>332</v>
      </c>
    </row>
    <row r="107" spans="1:29">
      <c r="A107" s="31"/>
      <c r="B107" s="32" t="s">
        <v>333</v>
      </c>
      <c r="C107" s="31"/>
      <c r="D107" s="31"/>
      <c r="E107" s="33" t="s">
        <v>334</v>
      </c>
      <c r="F107" s="31"/>
      <c r="G107" s="31"/>
      <c r="H107" s="31"/>
      <c r="I107" s="31"/>
      <c r="J107" s="31"/>
      <c r="K107" s="31"/>
      <c r="L107" s="31"/>
      <c r="M107" s="31"/>
      <c r="N107" s="34">
        <v>46210</v>
      </c>
      <c r="O107" s="34">
        <v>46210</v>
      </c>
      <c r="P107" s="35">
        <v>1</v>
      </c>
      <c r="Q107" s="35">
        <v>0</v>
      </c>
      <c r="R107" s="35">
        <v>1</v>
      </c>
      <c r="S107" s="35">
        <v>0</v>
      </c>
      <c r="T107" s="36"/>
      <c r="U107" s="36"/>
      <c r="V107" s="31"/>
      <c r="W107" s="31"/>
      <c r="X107" s="35"/>
      <c r="Y107" s="31"/>
      <c r="Z107" s="37">
        <v>0</v>
      </c>
      <c r="AA107" s="37">
        <v>0</v>
      </c>
      <c r="AB107" s="31" t="str">
        <f>IFERROR(__xludf.DUMMYFUNCTION("LET(
  _PS, INT(DATE(2026,5,11)), 
  _PE, INT(DATE(2026,7,31)), 
  _TS, INT(N107), 
  _TE, INT(O107), 
  _Ref, INT(today()), 
  _Act, AA107,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7" s="35" t="s">
        <v>335</v>
      </c>
    </row>
    <row r="108" spans="1:29">
      <c r="A108" s="22"/>
      <c r="B108" s="23">
        <v>3.4</v>
      </c>
      <c r="C108" s="22"/>
      <c r="D108" s="24" t="s">
        <v>336</v>
      </c>
      <c r="E108" s="22"/>
      <c r="F108" s="22"/>
      <c r="G108" s="22"/>
      <c r="H108" s="22"/>
      <c r="I108" s="22"/>
      <c r="J108" s="22"/>
      <c r="K108" s="22"/>
      <c r="L108" s="22"/>
      <c r="M108" s="22"/>
      <c r="N108" s="25">
        <v>46211</v>
      </c>
      <c r="O108" s="25">
        <v>46225</v>
      </c>
      <c r="P108" s="26">
        <v>10</v>
      </c>
      <c r="Q108" s="26">
        <v>0</v>
      </c>
      <c r="R108" s="26">
        <v>10</v>
      </c>
      <c r="S108" s="26">
        <v>0</v>
      </c>
      <c r="T108" s="27"/>
      <c r="U108" s="27"/>
      <c r="V108" s="22"/>
      <c r="W108" s="22"/>
      <c r="X108" s="26"/>
      <c r="Y108" s="22"/>
      <c r="Z108" s="28">
        <v>0</v>
      </c>
      <c r="AA108" s="37">
        <v>0</v>
      </c>
      <c r="AB108" s="22" t="str">
        <f>IFERROR(__xludf.DUMMYFUNCTION("LET(
  _PS, INT(DATE(2026,5,11)), 
  _PE, INT(DATE(2026,7,31)), 
  _TS, INT(N108), 
  _TE, INT(O108), 
  _Ref, INT(today()), 
  _Act, AA108,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8" s="26" t="s">
        <v>337</v>
      </c>
    </row>
    <row r="109" spans="1:29">
      <c r="A109" s="31"/>
      <c r="B109" s="32" t="s">
        <v>338</v>
      </c>
      <c r="C109" s="31"/>
      <c r="D109" s="31"/>
      <c r="E109" s="33" t="s">
        <v>339</v>
      </c>
      <c r="F109" s="31"/>
      <c r="G109" s="31"/>
      <c r="H109" s="31"/>
      <c r="I109" s="31"/>
      <c r="J109" s="31"/>
      <c r="K109" s="31"/>
      <c r="L109" s="31"/>
      <c r="M109" s="31"/>
      <c r="N109" s="34">
        <v>46211</v>
      </c>
      <c r="O109" s="34">
        <v>46211</v>
      </c>
      <c r="P109" s="35">
        <v>1</v>
      </c>
      <c r="Q109" s="35">
        <v>0</v>
      </c>
      <c r="R109" s="35">
        <v>1</v>
      </c>
      <c r="S109" s="35">
        <v>0</v>
      </c>
      <c r="T109" s="36"/>
      <c r="U109" s="36"/>
      <c r="V109" s="31"/>
      <c r="W109" s="31"/>
      <c r="X109" s="35"/>
      <c r="Y109" s="31"/>
      <c r="Z109" s="37">
        <v>0</v>
      </c>
      <c r="AA109" s="37">
        <v>0</v>
      </c>
      <c r="AB109" s="31" t="str">
        <f>IFERROR(__xludf.DUMMYFUNCTION("LET(
  _PS, INT(DATE(2026,5,11)), 
  _PE, INT(DATE(2026,7,31)), 
  _TS, INT(N109), 
  _TE, INT(O109), 
  _Ref, INT(today()), 
  _Act, AA109,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09" s="35" t="s">
        <v>340</v>
      </c>
    </row>
    <row r="110" spans="1:29">
      <c r="A110" s="31"/>
      <c r="B110" s="32" t="s">
        <v>341</v>
      </c>
      <c r="C110" s="31"/>
      <c r="D110" s="31"/>
      <c r="E110" s="33" t="s">
        <v>342</v>
      </c>
      <c r="F110" s="31"/>
      <c r="G110" s="31"/>
      <c r="H110" s="31"/>
      <c r="I110" s="31"/>
      <c r="J110" s="31"/>
      <c r="K110" s="31"/>
      <c r="L110" s="31"/>
      <c r="M110" s="31"/>
      <c r="N110" s="34">
        <v>46212</v>
      </c>
      <c r="O110" s="34">
        <v>46212</v>
      </c>
      <c r="P110" s="35">
        <v>1</v>
      </c>
      <c r="Q110" s="35">
        <v>0</v>
      </c>
      <c r="R110" s="35">
        <v>1</v>
      </c>
      <c r="S110" s="35">
        <v>0</v>
      </c>
      <c r="T110" s="36"/>
      <c r="U110" s="36"/>
      <c r="V110" s="31"/>
      <c r="W110" s="31"/>
      <c r="X110" s="35"/>
      <c r="Y110" s="31"/>
      <c r="Z110" s="37">
        <v>0</v>
      </c>
      <c r="AA110" s="37">
        <v>0</v>
      </c>
      <c r="AB110" s="31" t="str">
        <f>IFERROR(__xludf.DUMMYFUNCTION("LET(
  _PS, INT(DATE(2026,5,11)), 
  _PE, INT(DATE(2026,7,31)), 
  _TS, INT(N110), 
  _TE, INT(O110), 
  _Ref, INT(today()), 
  _Act, AA110,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0" s="35" t="s">
        <v>343</v>
      </c>
    </row>
    <row r="111" spans="1:29">
      <c r="A111" s="31"/>
      <c r="B111" s="32" t="s">
        <v>344</v>
      </c>
      <c r="C111" s="31"/>
      <c r="D111" s="31"/>
      <c r="E111" s="33" t="s">
        <v>345</v>
      </c>
      <c r="F111" s="31"/>
      <c r="G111" s="31"/>
      <c r="H111" s="31"/>
      <c r="I111" s="31"/>
      <c r="J111" s="31"/>
      <c r="K111" s="31"/>
      <c r="L111" s="31"/>
      <c r="M111" s="31"/>
      <c r="N111" s="34">
        <v>46213</v>
      </c>
      <c r="O111" s="34">
        <v>46213</v>
      </c>
      <c r="P111" s="35">
        <v>1</v>
      </c>
      <c r="Q111" s="35">
        <v>0</v>
      </c>
      <c r="R111" s="35">
        <v>1</v>
      </c>
      <c r="S111" s="35">
        <v>0</v>
      </c>
      <c r="T111" s="36"/>
      <c r="U111" s="36"/>
      <c r="V111" s="31"/>
      <c r="W111" s="31"/>
      <c r="X111" s="35"/>
      <c r="Y111" s="31"/>
      <c r="Z111" s="37">
        <v>0</v>
      </c>
      <c r="AA111" s="37">
        <v>0</v>
      </c>
      <c r="AB111" s="31" t="str">
        <f>IFERROR(__xludf.DUMMYFUNCTION("LET(
  _PS, INT(DATE(2026,5,11)), 
  _PE, INT(DATE(2026,7,31)), 
  _TS, INT(N111), 
  _TE, INT(O111), 
  _Ref, INT(today()), 
  _Act, AA111,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1" s="35" t="s">
        <v>346</v>
      </c>
    </row>
    <row r="112" spans="1:29">
      <c r="A112" s="31"/>
      <c r="B112" s="32" t="s">
        <v>347</v>
      </c>
      <c r="C112" s="31"/>
      <c r="D112" s="35"/>
      <c r="E112" s="33" t="s">
        <v>348</v>
      </c>
      <c r="F112" s="31"/>
      <c r="G112" s="31"/>
      <c r="H112" s="31"/>
      <c r="I112" s="31"/>
      <c r="J112" s="31"/>
      <c r="K112" s="31"/>
      <c r="L112" s="31"/>
      <c r="M112" s="31"/>
      <c r="N112" s="34">
        <v>46216</v>
      </c>
      <c r="O112" s="34">
        <v>46216</v>
      </c>
      <c r="P112" s="35">
        <v>1</v>
      </c>
      <c r="Q112" s="35">
        <v>0</v>
      </c>
      <c r="R112" s="35">
        <v>1</v>
      </c>
      <c r="S112" s="35">
        <v>0</v>
      </c>
      <c r="T112" s="36"/>
      <c r="U112" s="36"/>
      <c r="V112" s="31"/>
      <c r="W112" s="31"/>
      <c r="X112" s="35"/>
      <c r="Y112" s="31"/>
      <c r="Z112" s="37">
        <v>0</v>
      </c>
      <c r="AA112" s="37">
        <v>0</v>
      </c>
      <c r="AB112" s="31" t="str">
        <f>IFERROR(__xludf.DUMMYFUNCTION("LET(
  _PS, INT(DATE(2026,5,11)), 
  _PE, INT(DATE(2026,7,31)), 
  _TS, INT(N112), 
  _TE, INT(O112), 
  _Ref, INT(today()), 
  _Act, AA112,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2" s="35" t="s">
        <v>349</v>
      </c>
    </row>
    <row r="113" spans="1:29">
      <c r="A113" s="31"/>
      <c r="B113" s="32" t="s">
        <v>350</v>
      </c>
      <c r="C113" s="31"/>
      <c r="D113" s="31"/>
      <c r="E113" s="33" t="s">
        <v>351</v>
      </c>
      <c r="F113" s="31"/>
      <c r="G113" s="31"/>
      <c r="H113" s="31"/>
      <c r="I113" s="31"/>
      <c r="J113" s="31"/>
      <c r="K113" s="31"/>
      <c r="L113" s="31"/>
      <c r="M113" s="31"/>
      <c r="N113" s="34">
        <v>46217</v>
      </c>
      <c r="O113" s="34">
        <v>46217</v>
      </c>
      <c r="P113" s="35">
        <v>1</v>
      </c>
      <c r="Q113" s="35">
        <v>0</v>
      </c>
      <c r="R113" s="35">
        <v>1</v>
      </c>
      <c r="S113" s="35">
        <v>0</v>
      </c>
      <c r="T113" s="36"/>
      <c r="U113" s="36"/>
      <c r="V113" s="31"/>
      <c r="W113" s="31"/>
      <c r="X113" s="35"/>
      <c r="Y113" s="31"/>
      <c r="Z113" s="37">
        <v>0</v>
      </c>
      <c r="AA113" s="37">
        <v>0</v>
      </c>
      <c r="AB113" s="31" t="str">
        <f>IFERROR(__xludf.DUMMYFUNCTION("LET(
  _PS, INT(DATE(2026,5,11)), 
  _PE, INT(DATE(2026,7,31)), 
  _TS, INT(N113), 
  _TE, INT(O113), 
  _Ref, INT(today()), 
  _Act, AA113,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3" s="35" t="s">
        <v>352</v>
      </c>
    </row>
    <row r="114" spans="1:29">
      <c r="A114" s="31"/>
      <c r="B114" s="32" t="s">
        <v>353</v>
      </c>
      <c r="C114" s="31"/>
      <c r="D114" s="31"/>
      <c r="E114" s="33" t="s">
        <v>354</v>
      </c>
      <c r="F114" s="31"/>
      <c r="G114" s="31"/>
      <c r="H114" s="31"/>
      <c r="I114" s="31"/>
      <c r="J114" s="31"/>
      <c r="K114" s="31"/>
      <c r="L114" s="31"/>
      <c r="M114" s="31"/>
      <c r="N114" s="34">
        <v>46218</v>
      </c>
      <c r="O114" s="34">
        <v>46218</v>
      </c>
      <c r="P114" s="35">
        <v>1</v>
      </c>
      <c r="Q114" s="35">
        <v>0</v>
      </c>
      <c r="R114" s="35">
        <v>1</v>
      </c>
      <c r="S114" s="35">
        <v>0</v>
      </c>
      <c r="T114" s="36"/>
      <c r="U114" s="36"/>
      <c r="V114" s="31"/>
      <c r="W114" s="31"/>
      <c r="X114" s="35"/>
      <c r="Y114" s="31"/>
      <c r="Z114" s="37">
        <v>0</v>
      </c>
      <c r="AA114" s="37">
        <v>0</v>
      </c>
      <c r="AB114" s="31" t="str">
        <f>IFERROR(__xludf.DUMMYFUNCTION("LET(
  _PS, INT(DATE(2026,5,11)), 
  _PE, INT(DATE(2026,7,31)), 
  _TS, INT(N114), 
  _TE, INT(O114), 
  _Ref, INT(today()), 
  _Act, AA114,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4" s="35" t="s">
        <v>355</v>
      </c>
    </row>
    <row r="115" spans="1:29">
      <c r="A115" s="31"/>
      <c r="B115" s="32" t="s">
        <v>356</v>
      </c>
      <c r="C115" s="31"/>
      <c r="D115" s="31"/>
      <c r="E115" s="33" t="s">
        <v>357</v>
      </c>
      <c r="F115" s="31"/>
      <c r="G115" s="31"/>
      <c r="H115" s="31"/>
      <c r="I115" s="31"/>
      <c r="J115" s="31"/>
      <c r="K115" s="31"/>
      <c r="L115" s="31"/>
      <c r="M115" s="31"/>
      <c r="N115" s="34">
        <v>46219</v>
      </c>
      <c r="O115" s="34">
        <v>46219</v>
      </c>
      <c r="P115" s="35">
        <v>1</v>
      </c>
      <c r="Q115" s="35">
        <v>0</v>
      </c>
      <c r="R115" s="35">
        <v>1</v>
      </c>
      <c r="S115" s="35">
        <v>0</v>
      </c>
      <c r="T115" s="36"/>
      <c r="U115" s="36"/>
      <c r="V115" s="31"/>
      <c r="W115" s="31"/>
      <c r="X115" s="35"/>
      <c r="Y115" s="31"/>
      <c r="Z115" s="37">
        <v>0</v>
      </c>
      <c r="AA115" s="37">
        <v>0</v>
      </c>
      <c r="AB115" s="31" t="str">
        <f>IFERROR(__xludf.DUMMYFUNCTION("LET(
  _PS, INT(DATE(2026,5,11)), 
  _PE, INT(DATE(2026,7,31)), 
  _TS, INT(N115), 
  _TE, INT(O115), 
  _Ref, INT(today()), 
  _Act, AA115,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5" s="35" t="s">
        <v>358</v>
      </c>
    </row>
    <row r="116" spans="1:29">
      <c r="A116" s="31"/>
      <c r="B116" s="32" t="s">
        <v>359</v>
      </c>
      <c r="C116" s="31"/>
      <c r="D116" s="31"/>
      <c r="E116" s="33" t="s">
        <v>360</v>
      </c>
      <c r="F116" s="31"/>
      <c r="G116" s="31"/>
      <c r="H116" s="31"/>
      <c r="I116" s="31"/>
      <c r="J116" s="31"/>
      <c r="K116" s="31"/>
      <c r="L116" s="31"/>
      <c r="M116" s="31"/>
      <c r="N116" s="34">
        <v>46223</v>
      </c>
      <c r="O116" s="34">
        <v>46223</v>
      </c>
      <c r="P116" s="35">
        <v>1</v>
      </c>
      <c r="Q116" s="35">
        <v>0</v>
      </c>
      <c r="R116" s="35">
        <v>1</v>
      </c>
      <c r="S116" s="35">
        <v>0</v>
      </c>
      <c r="T116" s="36"/>
      <c r="U116" s="36"/>
      <c r="V116" s="31"/>
      <c r="W116" s="31"/>
      <c r="X116" s="35"/>
      <c r="Y116" s="31"/>
      <c r="Z116" s="37">
        <v>0</v>
      </c>
      <c r="AA116" s="37">
        <v>0</v>
      </c>
      <c r="AB116" s="31" t="str">
        <f>IFERROR(__xludf.DUMMYFUNCTION("LET(
  _PS, INT(DATE(2026,5,11)), 
  _PE, INT(DATE(2026,7,31)), 
  _TS, INT(N116), 
  _TE, INT(O116), 
  _Ref, INT(today()), 
  _Act, AA116,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6" s="35" t="s">
        <v>361</v>
      </c>
    </row>
    <row r="117" spans="1:29">
      <c r="A117" s="31"/>
      <c r="B117" s="32" t="s">
        <v>362</v>
      </c>
      <c r="C117" s="31"/>
      <c r="D117" s="31"/>
      <c r="E117" s="33" t="s">
        <v>363</v>
      </c>
      <c r="F117" s="31"/>
      <c r="G117" s="31"/>
      <c r="H117" s="31"/>
      <c r="I117" s="31"/>
      <c r="J117" s="31"/>
      <c r="K117" s="31"/>
      <c r="L117" s="31"/>
      <c r="M117" s="31"/>
      <c r="N117" s="34">
        <v>46224</v>
      </c>
      <c r="O117" s="34">
        <v>46224</v>
      </c>
      <c r="P117" s="35">
        <v>1</v>
      </c>
      <c r="Q117" s="35">
        <v>0</v>
      </c>
      <c r="R117" s="35">
        <v>1</v>
      </c>
      <c r="S117" s="35">
        <v>0</v>
      </c>
      <c r="T117" s="36"/>
      <c r="U117" s="36"/>
      <c r="V117" s="31"/>
      <c r="W117" s="31"/>
      <c r="X117" s="35"/>
      <c r="Y117" s="31"/>
      <c r="Z117" s="37">
        <v>0</v>
      </c>
      <c r="AA117" s="37">
        <v>0</v>
      </c>
      <c r="AB117" s="31" t="str">
        <f>IFERROR(__xludf.DUMMYFUNCTION("LET(
  _PS, INT(DATE(2026,5,11)), 
  _PE, INT(DATE(2026,7,31)), 
  _TS, INT(N117), 
  _TE, INT(O117), 
  _Ref, INT(today()), 
  _Act, AA117,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7" s="35" t="s">
        <v>364</v>
      </c>
    </row>
    <row r="118" spans="1:29">
      <c r="A118" s="31"/>
      <c r="B118" s="32" t="s">
        <v>365</v>
      </c>
      <c r="C118" s="31"/>
      <c r="D118" s="31"/>
      <c r="E118" s="33" t="s">
        <v>366</v>
      </c>
      <c r="F118" s="31"/>
      <c r="G118" s="31"/>
      <c r="H118" s="31"/>
      <c r="I118" s="31"/>
      <c r="J118" s="31"/>
      <c r="K118" s="31"/>
      <c r="L118" s="31"/>
      <c r="M118" s="31"/>
      <c r="N118" s="34">
        <v>46225</v>
      </c>
      <c r="O118" s="34">
        <v>46225</v>
      </c>
      <c r="P118" s="35">
        <v>1</v>
      </c>
      <c r="Q118" s="35">
        <v>0</v>
      </c>
      <c r="R118" s="35">
        <v>1</v>
      </c>
      <c r="S118" s="35">
        <v>0</v>
      </c>
      <c r="T118" s="36"/>
      <c r="U118" s="36"/>
      <c r="V118" s="31"/>
      <c r="W118" s="31"/>
      <c r="X118" s="35"/>
      <c r="Y118" s="31"/>
      <c r="Z118" s="37">
        <v>0</v>
      </c>
      <c r="AA118" s="37">
        <v>0</v>
      </c>
      <c r="AB118" s="31" t="str">
        <f>IFERROR(__xludf.DUMMYFUNCTION("LET(
  _PS, INT(DATE(2026,5,11)), 
  _PE, INT(DATE(2026,7,31)), 
  _TS, INT(N118), 
  _TE, INT(O118), 
  _Ref, INT(today()), 
  _Act, AA118,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8" s="35" t="s">
        <v>367</v>
      </c>
    </row>
    <row r="119" spans="1:29">
      <c r="A119" s="22"/>
      <c r="B119" s="23">
        <v>4</v>
      </c>
      <c r="C119" s="24" t="s">
        <v>368</v>
      </c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5">
        <v>46226</v>
      </c>
      <c r="O119" s="25">
        <v>46234</v>
      </c>
      <c r="P119" s="26">
        <v>26</v>
      </c>
      <c r="Q119" s="26">
        <v>0</v>
      </c>
      <c r="R119" s="26">
        <v>7</v>
      </c>
      <c r="S119" s="26">
        <v>0</v>
      </c>
      <c r="T119" s="27"/>
      <c r="U119" s="27"/>
      <c r="V119" s="22"/>
      <c r="W119" s="22"/>
      <c r="X119" s="26"/>
      <c r="Y119" s="22"/>
      <c r="Z119" s="28">
        <v>0</v>
      </c>
      <c r="AA119" s="37">
        <v>0</v>
      </c>
      <c r="AB119" s="22" t="str">
        <f>IFERROR(__xludf.DUMMYFUNCTION("LET(
  _PS, INT(DATE(2026,5,11)), 
  _PE, INT(DATE(2026,7,31)), 
  _TS, INT(N119), 
  _TE, INT(O119), 
  _Ref, INT(today()), 
  _Act, AA119,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19" s="26" t="s">
        <v>370</v>
      </c>
    </row>
    <row r="120" spans="1:29">
      <c r="A120" s="22"/>
      <c r="B120" s="23">
        <v>4.1</v>
      </c>
      <c r="C120" s="22"/>
      <c r="D120" s="24" t="s">
        <v>371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5">
        <v>46226</v>
      </c>
      <c r="O120" s="25">
        <v>46231</v>
      </c>
      <c r="P120" s="26">
        <v>16</v>
      </c>
      <c r="Q120" s="26">
        <v>0</v>
      </c>
      <c r="R120" s="26">
        <v>4</v>
      </c>
      <c r="S120" s="26">
        <v>0</v>
      </c>
      <c r="T120" s="27"/>
      <c r="U120" s="27"/>
      <c r="V120" s="22"/>
      <c r="W120" s="22"/>
      <c r="X120" s="26"/>
      <c r="Y120" s="22"/>
      <c r="Z120" s="28">
        <v>0</v>
      </c>
      <c r="AA120" s="37">
        <v>0</v>
      </c>
      <c r="AB120" s="22" t="str">
        <f>IFERROR(__xludf.DUMMYFUNCTION("LET(
  _PS, INT(DATE(2026,5,11)), 
  _PE, INT(DATE(2026,7,31)), 
  _TS, INT(N120), 
  _TE, INT(O120), 
  _Ref, INT(today()), 
  _Act, AA120,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0" s="26" t="s">
        <v>372</v>
      </c>
    </row>
    <row r="121" spans="1:29">
      <c r="A121" s="31"/>
      <c r="B121" s="32" t="s">
        <v>373</v>
      </c>
      <c r="C121" s="31"/>
      <c r="D121" s="31"/>
      <c r="E121" s="33" t="s">
        <v>374</v>
      </c>
      <c r="F121" s="31"/>
      <c r="G121" s="31"/>
      <c r="H121" s="31"/>
      <c r="I121" s="31"/>
      <c r="J121" s="31"/>
      <c r="K121" s="31"/>
      <c r="L121" s="31"/>
      <c r="M121" s="31"/>
      <c r="N121" s="34">
        <v>46226</v>
      </c>
      <c r="O121" s="34">
        <v>46226</v>
      </c>
      <c r="P121" s="35">
        <v>2</v>
      </c>
      <c r="Q121" s="35">
        <v>0</v>
      </c>
      <c r="R121" s="35">
        <v>1</v>
      </c>
      <c r="S121" s="35">
        <v>0</v>
      </c>
      <c r="T121" s="36"/>
      <c r="U121" s="36"/>
      <c r="V121" s="31"/>
      <c r="W121" s="31"/>
      <c r="X121" s="35"/>
      <c r="Y121" s="31"/>
      <c r="Z121" s="37">
        <v>0</v>
      </c>
      <c r="AA121" s="37">
        <v>0</v>
      </c>
      <c r="AB121" s="31" t="str">
        <f>IFERROR(__xludf.DUMMYFUNCTION("LET(
  _PS, INT(DATE(2026,5,11)), 
  _PE, INT(DATE(2026,7,31)), 
  _TS, INT(N121), 
  _TE, INT(O121), 
  _Ref, INT(today()), 
  _Act, AA121,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1" s="35" t="s">
        <v>375</v>
      </c>
    </row>
    <row r="122" spans="1:29">
      <c r="A122" s="31"/>
      <c r="B122" s="32" t="s">
        <v>376</v>
      </c>
      <c r="C122" s="31"/>
      <c r="D122" s="31"/>
      <c r="E122" s="33" t="s">
        <v>377</v>
      </c>
      <c r="F122" s="31"/>
      <c r="G122" s="31"/>
      <c r="H122" s="31"/>
      <c r="I122" s="31"/>
      <c r="J122" s="31"/>
      <c r="K122" s="31"/>
      <c r="L122" s="31"/>
      <c r="M122" s="31"/>
      <c r="N122" s="34">
        <v>46226</v>
      </c>
      <c r="O122" s="34">
        <v>46226</v>
      </c>
      <c r="P122" s="35">
        <v>2</v>
      </c>
      <c r="Q122" s="35">
        <v>0</v>
      </c>
      <c r="R122" s="35">
        <v>1</v>
      </c>
      <c r="S122" s="35">
        <v>0</v>
      </c>
      <c r="T122" s="36"/>
      <c r="U122" s="36"/>
      <c r="V122" s="31"/>
      <c r="W122" s="31"/>
      <c r="X122" s="35"/>
      <c r="Y122" s="31"/>
      <c r="Z122" s="37">
        <v>0</v>
      </c>
      <c r="AA122" s="37">
        <v>0</v>
      </c>
      <c r="AB122" s="31" t="str">
        <f>IFERROR(__xludf.DUMMYFUNCTION("LET(
  _PS, INT(DATE(2026,5,11)), 
  _PE, INT(DATE(2026,7,31)), 
  _TS, INT(N122), 
  _TE, INT(O122), 
  _Ref, INT(today()), 
  _Act, AA122,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2" s="35" t="s">
        <v>378</v>
      </c>
    </row>
    <row r="123" spans="1:29">
      <c r="A123" s="31"/>
      <c r="B123" s="32" t="s">
        <v>379</v>
      </c>
      <c r="C123" s="31"/>
      <c r="D123" s="31"/>
      <c r="E123" s="33" t="s">
        <v>380</v>
      </c>
      <c r="F123" s="31"/>
      <c r="G123" s="31"/>
      <c r="H123" s="31"/>
      <c r="I123" s="31"/>
      <c r="J123" s="31"/>
      <c r="K123" s="31"/>
      <c r="L123" s="31"/>
      <c r="M123" s="31"/>
      <c r="N123" s="34">
        <v>46227</v>
      </c>
      <c r="O123" s="34">
        <v>46227</v>
      </c>
      <c r="P123" s="35">
        <v>2</v>
      </c>
      <c r="Q123" s="35">
        <v>0</v>
      </c>
      <c r="R123" s="35">
        <v>1</v>
      </c>
      <c r="S123" s="35">
        <v>0</v>
      </c>
      <c r="T123" s="36"/>
      <c r="U123" s="36"/>
      <c r="V123" s="31"/>
      <c r="W123" s="31"/>
      <c r="X123" s="35"/>
      <c r="Y123" s="31"/>
      <c r="Z123" s="37">
        <v>0</v>
      </c>
      <c r="AA123" s="37">
        <v>0</v>
      </c>
      <c r="AB123" s="31" t="str">
        <f>IFERROR(__xludf.DUMMYFUNCTION("LET(
  _PS, INT(DATE(2026,5,11)), 
  _PE, INT(DATE(2026,7,31)), 
  _TS, INT(N123), 
  _TE, INT(O123), 
  _Ref, INT(today()), 
  _Act, AA123,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3" s="35" t="s">
        <v>381</v>
      </c>
    </row>
    <row r="124" spans="1:29">
      <c r="A124" s="31"/>
      <c r="B124" s="32" t="s">
        <v>382</v>
      </c>
      <c r="C124" s="31"/>
      <c r="D124" s="31"/>
      <c r="E124" s="33" t="s">
        <v>383</v>
      </c>
      <c r="F124" s="31"/>
      <c r="G124" s="31"/>
      <c r="H124" s="31"/>
      <c r="I124" s="31"/>
      <c r="J124" s="31"/>
      <c r="K124" s="31"/>
      <c r="L124" s="31"/>
      <c r="M124" s="31"/>
      <c r="N124" s="34">
        <v>46227</v>
      </c>
      <c r="O124" s="34">
        <v>46227</v>
      </c>
      <c r="P124" s="35">
        <v>2</v>
      </c>
      <c r="Q124" s="35">
        <v>0</v>
      </c>
      <c r="R124" s="35">
        <v>1</v>
      </c>
      <c r="S124" s="35">
        <v>0</v>
      </c>
      <c r="T124" s="36"/>
      <c r="U124" s="36"/>
      <c r="V124" s="31"/>
      <c r="W124" s="31"/>
      <c r="X124" s="35"/>
      <c r="Y124" s="31"/>
      <c r="Z124" s="37">
        <v>0</v>
      </c>
      <c r="AA124" s="37">
        <v>0</v>
      </c>
      <c r="AB124" s="31" t="str">
        <f>IFERROR(__xludf.DUMMYFUNCTION("LET(
  _PS, INT(DATE(2026,5,11)), 
  _PE, INT(DATE(2026,7,31)), 
  _TS, INT(N124), 
  _TE, INT(O124), 
  _Ref, INT(today()), 
  _Act, AA124,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4" s="35" t="s">
        <v>384</v>
      </c>
    </row>
    <row r="125" spans="1:29">
      <c r="A125" s="31"/>
      <c r="B125" s="32" t="s">
        <v>385</v>
      </c>
      <c r="C125" s="31"/>
      <c r="D125" s="31"/>
      <c r="E125" s="33" t="s">
        <v>386</v>
      </c>
      <c r="F125" s="31"/>
      <c r="G125" s="31"/>
      <c r="H125" s="31"/>
      <c r="I125" s="31"/>
      <c r="J125" s="31"/>
      <c r="K125" s="31"/>
      <c r="L125" s="31"/>
      <c r="M125" s="31"/>
      <c r="N125" s="34">
        <v>46230</v>
      </c>
      <c r="O125" s="34">
        <v>46230</v>
      </c>
      <c r="P125" s="35">
        <v>2</v>
      </c>
      <c r="Q125" s="35">
        <v>0</v>
      </c>
      <c r="R125" s="35">
        <v>1</v>
      </c>
      <c r="S125" s="35">
        <v>0</v>
      </c>
      <c r="T125" s="36"/>
      <c r="U125" s="36"/>
      <c r="V125" s="31"/>
      <c r="W125" s="31"/>
      <c r="X125" s="35"/>
      <c r="Y125" s="31"/>
      <c r="Z125" s="37">
        <v>0</v>
      </c>
      <c r="AA125" s="37">
        <v>0</v>
      </c>
      <c r="AB125" s="31" t="str">
        <f>IFERROR(__xludf.DUMMYFUNCTION("LET(
  _PS, INT(DATE(2026,5,11)), 
  _PE, INT(DATE(2026,7,31)), 
  _TS, INT(N125), 
  _TE, INT(O125), 
  _Ref, INT(today()), 
  _Act, AA125,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5" s="35" t="s">
        <v>387</v>
      </c>
    </row>
    <row r="126" spans="1:29">
      <c r="A126" s="31"/>
      <c r="B126" s="32" t="s">
        <v>388</v>
      </c>
      <c r="C126" s="31"/>
      <c r="D126" s="31"/>
      <c r="E126" s="33" t="s">
        <v>389</v>
      </c>
      <c r="F126" s="31"/>
      <c r="G126" s="31"/>
      <c r="H126" s="31"/>
      <c r="I126" s="31"/>
      <c r="J126" s="31"/>
      <c r="K126" s="31"/>
      <c r="L126" s="31"/>
      <c r="M126" s="31"/>
      <c r="N126" s="34">
        <v>46230</v>
      </c>
      <c r="O126" s="34">
        <v>46230</v>
      </c>
      <c r="P126" s="35">
        <v>2</v>
      </c>
      <c r="Q126" s="35">
        <v>0</v>
      </c>
      <c r="R126" s="35">
        <v>1</v>
      </c>
      <c r="S126" s="35">
        <v>0</v>
      </c>
      <c r="T126" s="36"/>
      <c r="U126" s="36"/>
      <c r="V126" s="31"/>
      <c r="W126" s="31"/>
      <c r="X126" s="35"/>
      <c r="Y126" s="31"/>
      <c r="Z126" s="37">
        <v>0</v>
      </c>
      <c r="AA126" s="37">
        <v>0</v>
      </c>
      <c r="AB126" s="31" t="str">
        <f>IFERROR(__xludf.DUMMYFUNCTION("LET(
  _PS, INT(DATE(2026,5,11)), 
  _PE, INT(DATE(2026,7,31)), 
  _TS, INT(N126), 
  _TE, INT(O126), 
  _Ref, INT(today()), 
  _Act, AA126,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6" s="35" t="s">
        <v>390</v>
      </c>
    </row>
    <row r="127" spans="1:29">
      <c r="A127" s="31"/>
      <c r="B127" s="32" t="s">
        <v>391</v>
      </c>
      <c r="C127" s="31"/>
      <c r="D127" s="31"/>
      <c r="E127" s="33" t="s">
        <v>392</v>
      </c>
      <c r="F127" s="31"/>
      <c r="G127" s="31"/>
      <c r="H127" s="31"/>
      <c r="I127" s="31"/>
      <c r="J127" s="31"/>
      <c r="K127" s="31"/>
      <c r="L127" s="31"/>
      <c r="M127" s="31"/>
      <c r="N127" s="34">
        <v>46231</v>
      </c>
      <c r="O127" s="34">
        <v>46231</v>
      </c>
      <c r="P127" s="35">
        <v>2</v>
      </c>
      <c r="Q127" s="35">
        <v>0</v>
      </c>
      <c r="R127" s="35">
        <v>1</v>
      </c>
      <c r="S127" s="35">
        <v>0</v>
      </c>
      <c r="T127" s="36"/>
      <c r="U127" s="36"/>
      <c r="V127" s="31"/>
      <c r="W127" s="31"/>
      <c r="X127" s="35"/>
      <c r="Y127" s="31"/>
      <c r="Z127" s="37">
        <v>0</v>
      </c>
      <c r="AA127" s="37">
        <v>0</v>
      </c>
      <c r="AB127" s="31" t="str">
        <f>IFERROR(__xludf.DUMMYFUNCTION("LET(
  _PS, INT(DATE(2026,5,11)), 
  _PE, INT(DATE(2026,7,31)), 
  _TS, INT(N127), 
  _TE, INT(O127), 
  _Ref, INT(today()), 
  _Act, AA127,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7" s="35" t="s">
        <v>393</v>
      </c>
    </row>
    <row r="128" spans="1:29">
      <c r="A128" s="31"/>
      <c r="B128" s="32" t="s">
        <v>394</v>
      </c>
      <c r="C128" s="31"/>
      <c r="D128" s="31"/>
      <c r="E128" s="33" t="s">
        <v>395</v>
      </c>
      <c r="F128" s="31"/>
      <c r="G128" s="31"/>
      <c r="H128" s="31"/>
      <c r="I128" s="31"/>
      <c r="J128" s="31"/>
      <c r="K128" s="31"/>
      <c r="L128" s="31"/>
      <c r="M128" s="31"/>
      <c r="N128" s="34">
        <v>46231</v>
      </c>
      <c r="O128" s="34">
        <v>46231</v>
      </c>
      <c r="P128" s="35">
        <v>2</v>
      </c>
      <c r="Q128" s="35">
        <v>0</v>
      </c>
      <c r="R128" s="35">
        <v>1</v>
      </c>
      <c r="S128" s="35">
        <v>0</v>
      </c>
      <c r="T128" s="36"/>
      <c r="U128" s="36"/>
      <c r="V128" s="31"/>
      <c r="W128" s="31"/>
      <c r="X128" s="35"/>
      <c r="Y128" s="31"/>
      <c r="Z128" s="37">
        <v>0</v>
      </c>
      <c r="AA128" s="37">
        <v>0</v>
      </c>
      <c r="AB128" s="31" t="str">
        <f>IFERROR(__xludf.DUMMYFUNCTION("LET(
  _PS, INT(DATE(2026,5,11)), 
  _PE, INT(DATE(2026,7,31)), 
  _TS, INT(N128), 
  _TE, INT(O128), 
  _Ref, INT(today()), 
  _Act, AA128,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8" s="35" t="s">
        <v>396</v>
      </c>
    </row>
    <row r="129" spans="1:29">
      <c r="A129" s="22"/>
      <c r="B129" s="23">
        <v>4.2</v>
      </c>
      <c r="C129" s="22"/>
      <c r="D129" s="24" t="s">
        <v>397</v>
      </c>
      <c r="E129" s="22"/>
      <c r="F129" s="22"/>
      <c r="G129" s="22"/>
      <c r="H129" s="22"/>
      <c r="I129" s="22"/>
      <c r="J129" s="22"/>
      <c r="K129" s="22"/>
      <c r="L129" s="22"/>
      <c r="M129" s="22"/>
      <c r="N129" s="25">
        <v>46232</v>
      </c>
      <c r="O129" s="25">
        <v>46234</v>
      </c>
      <c r="P129" s="26">
        <v>10</v>
      </c>
      <c r="Q129" s="26">
        <v>0</v>
      </c>
      <c r="R129" s="26">
        <v>3</v>
      </c>
      <c r="S129" s="26">
        <v>0</v>
      </c>
      <c r="T129" s="27"/>
      <c r="U129" s="27"/>
      <c r="V129" s="22"/>
      <c r="W129" s="22"/>
      <c r="X129" s="26"/>
      <c r="Y129" s="22"/>
      <c r="Z129" s="28">
        <v>0</v>
      </c>
      <c r="AA129" s="37">
        <v>0</v>
      </c>
      <c r="AB129" s="22" t="str">
        <f>IFERROR(__xludf.DUMMYFUNCTION("LET(
  _PS, INT(DATE(2026,5,11)), 
  _PE, INT(DATE(2026,7,31)), 
  _TS, INT(N129), 
  _TE, INT(O129), 
  _Ref, INT(today()), 
  _Act, AA129,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29" s="26" t="s">
        <v>398</v>
      </c>
    </row>
    <row r="130" spans="1:29">
      <c r="A130" s="31"/>
      <c r="B130" s="32" t="s">
        <v>399</v>
      </c>
      <c r="C130" s="31"/>
      <c r="D130" s="31"/>
      <c r="E130" s="33" t="s">
        <v>400</v>
      </c>
      <c r="F130" s="31"/>
      <c r="G130" s="31"/>
      <c r="H130" s="31"/>
      <c r="I130" s="31"/>
      <c r="J130" s="31"/>
      <c r="K130" s="31"/>
      <c r="L130" s="31"/>
      <c r="M130" s="31"/>
      <c r="N130" s="34">
        <v>46232</v>
      </c>
      <c r="O130" s="34">
        <v>46232</v>
      </c>
      <c r="P130" s="35">
        <v>2</v>
      </c>
      <c r="Q130" s="35">
        <v>0</v>
      </c>
      <c r="R130" s="35">
        <v>1</v>
      </c>
      <c r="S130" s="35">
        <v>0</v>
      </c>
      <c r="T130" s="36"/>
      <c r="U130" s="36"/>
      <c r="V130" s="31"/>
      <c r="W130" s="31"/>
      <c r="X130" s="35"/>
      <c r="Y130" s="31"/>
      <c r="Z130" s="37">
        <v>0</v>
      </c>
      <c r="AA130" s="37">
        <v>0</v>
      </c>
      <c r="AB130" s="31" t="str">
        <f>IFERROR(__xludf.DUMMYFUNCTION("LET(
  _PS, INT(DATE(2026,5,11)), 
  _PE, INT(DATE(2026,7,31)), 
  _TS, INT(N130), 
  _TE, INT(O130), 
  _Ref, INT(today()), 
  _Act, AA130,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0" s="35" t="s">
        <v>401</v>
      </c>
    </row>
    <row r="131" spans="1:29">
      <c r="A131" s="31"/>
      <c r="B131" s="32" t="s">
        <v>402</v>
      </c>
      <c r="C131" s="31"/>
      <c r="D131" s="31"/>
      <c r="E131" s="33" t="s">
        <v>403</v>
      </c>
      <c r="F131" s="31"/>
      <c r="G131" s="31"/>
      <c r="H131" s="31"/>
      <c r="I131" s="31"/>
      <c r="J131" s="31"/>
      <c r="K131" s="31"/>
      <c r="L131" s="31"/>
      <c r="M131" s="31"/>
      <c r="N131" s="34">
        <v>46232</v>
      </c>
      <c r="O131" s="34">
        <v>46232</v>
      </c>
      <c r="P131" s="35">
        <v>2</v>
      </c>
      <c r="Q131" s="35">
        <v>0</v>
      </c>
      <c r="R131" s="35">
        <v>1</v>
      </c>
      <c r="S131" s="35">
        <v>0</v>
      </c>
      <c r="T131" s="36"/>
      <c r="U131" s="36"/>
      <c r="V131" s="31"/>
      <c r="W131" s="31"/>
      <c r="X131" s="35"/>
      <c r="Y131" s="31"/>
      <c r="Z131" s="37">
        <v>0</v>
      </c>
      <c r="AA131" s="37">
        <v>0</v>
      </c>
      <c r="AB131" s="31" t="str">
        <f>IFERROR(__xludf.DUMMYFUNCTION("LET(
  _PS, INT(DATE(2026,5,11)), 
  _PE, INT(DATE(2026,7,31)), 
  _TS, INT(N131), 
  _TE, INT(O131), 
  _Ref, INT(today()), 
  _Act, AA131,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1" s="35" t="s">
        <v>404</v>
      </c>
    </row>
    <row r="132" spans="1:29">
      <c r="A132" s="31"/>
      <c r="B132" s="32" t="s">
        <v>405</v>
      </c>
      <c r="C132" s="31"/>
      <c r="D132" s="31"/>
      <c r="E132" s="33" t="s">
        <v>406</v>
      </c>
      <c r="F132" s="31"/>
      <c r="G132" s="31"/>
      <c r="H132" s="31"/>
      <c r="I132" s="31"/>
      <c r="J132" s="31"/>
      <c r="K132" s="31"/>
      <c r="L132" s="31"/>
      <c r="M132" s="31"/>
      <c r="N132" s="34">
        <v>46233</v>
      </c>
      <c r="O132" s="34">
        <v>46233</v>
      </c>
      <c r="P132" s="35">
        <v>2</v>
      </c>
      <c r="Q132" s="35">
        <v>0</v>
      </c>
      <c r="R132" s="35">
        <v>1</v>
      </c>
      <c r="S132" s="35">
        <v>0</v>
      </c>
      <c r="T132" s="36"/>
      <c r="U132" s="36"/>
      <c r="V132" s="31"/>
      <c r="W132" s="31"/>
      <c r="X132" s="35"/>
      <c r="Y132" s="31"/>
      <c r="Z132" s="37">
        <v>0</v>
      </c>
      <c r="AA132" s="37">
        <v>0</v>
      </c>
      <c r="AB132" s="31" t="str">
        <f>IFERROR(__xludf.DUMMYFUNCTION("LET(
  _PS, INT(DATE(2026,5,11)), 
  _PE, INT(DATE(2026,7,31)), 
  _TS, INT(N132), 
  _TE, INT(O132), 
  _Ref, INT(today()), 
  _Act, AA132,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2" s="35" t="s">
        <v>407</v>
      </c>
    </row>
    <row r="133" spans="1:29">
      <c r="A133" s="31"/>
      <c r="B133" s="32" t="s">
        <v>408</v>
      </c>
      <c r="C133" s="31"/>
      <c r="D133" s="31"/>
      <c r="E133" s="39" t="s">
        <v>409</v>
      </c>
      <c r="F133" s="31"/>
      <c r="G133" s="31"/>
      <c r="H133" s="31"/>
      <c r="I133" s="31"/>
      <c r="J133" s="31"/>
      <c r="K133" s="31"/>
      <c r="L133" s="31"/>
      <c r="M133" s="31"/>
      <c r="N133" s="34">
        <v>46233</v>
      </c>
      <c r="O133" s="34">
        <v>46233</v>
      </c>
      <c r="P133" s="35">
        <v>2</v>
      </c>
      <c r="Q133" s="35">
        <v>0</v>
      </c>
      <c r="R133" s="35">
        <v>1</v>
      </c>
      <c r="S133" s="35">
        <v>0</v>
      </c>
      <c r="T133" s="36"/>
      <c r="U133" s="36"/>
      <c r="V133" s="31"/>
      <c r="W133" s="31"/>
      <c r="X133" s="35"/>
      <c r="Y133" s="31"/>
      <c r="Z133" s="37">
        <v>0</v>
      </c>
      <c r="AA133" s="37">
        <v>0</v>
      </c>
      <c r="AB133" s="31" t="str">
        <f>IFERROR(__xludf.DUMMYFUNCTION("LET(
  _PS, INT(DATE(2026,5,11)), 
  _PE, INT(DATE(2026,7,31)), 
  _TS, INT(N133), 
  _TE, INT(O133), 
  _Ref, INT(today()), 
  _Act, AA133,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3" s="35" t="s">
        <v>410</v>
      </c>
    </row>
    <row r="134" spans="1:29">
      <c r="A134" s="31"/>
      <c r="B134" s="32" t="s">
        <v>411</v>
      </c>
      <c r="C134" s="31"/>
      <c r="D134" s="31"/>
      <c r="E134" s="39" t="s">
        <v>412</v>
      </c>
      <c r="F134" s="31"/>
      <c r="G134" s="31"/>
      <c r="H134" s="31"/>
      <c r="I134" s="31"/>
      <c r="J134" s="31"/>
      <c r="K134" s="31"/>
      <c r="L134" s="31"/>
      <c r="M134" s="31"/>
      <c r="N134" s="34">
        <v>46234</v>
      </c>
      <c r="O134" s="34">
        <v>46234</v>
      </c>
      <c r="P134" s="35">
        <v>2</v>
      </c>
      <c r="Q134" s="35">
        <v>0</v>
      </c>
      <c r="R134" s="35">
        <v>1</v>
      </c>
      <c r="S134" s="35">
        <v>0</v>
      </c>
      <c r="T134" s="36"/>
      <c r="U134" s="36"/>
      <c r="V134" s="31"/>
      <c r="W134" s="31"/>
      <c r="X134" s="35"/>
      <c r="Y134" s="31"/>
      <c r="Z134" s="37">
        <v>0</v>
      </c>
      <c r="AA134" s="37">
        <v>0</v>
      </c>
      <c r="AB134" s="31" t="str">
        <f>IFERROR(__xludf.DUMMYFUNCTION("LET(
  _PS, INT(DATE(2026,5,11)), 
  _PE, INT(DATE(2026,7,31)), 
  _TS, INT(N134), 
  _TE, INT(O134), 
  _Ref, INT(today()), 
  _Act, AA134, 
  _Color, IF(_Act=1, ""#B7B7B7"", IF(_Ref&gt;_TE, ""red"", ""#5badff"")), 
  _Seg1, MAX(0, MIN(_TS-_PS, _Ref-_PS)), "&amp;"
  _Seg2, MAX(0, MIN(_TE-_PS+1, _Ref-_PS) - MAX(0, _TS-_PS)), 
  _Seg3, MAX(0, (_Ref-_PS) - (_Seg1 + _Seg2)), 
  _Seg4, 0.48625, 
  _Seg5, MAX(0, _TS - _Ref - 1), 
  _Seg6, MAX(0, (_TE-_PS+1) - MAX(_TS-_PS, _Ref-_PS+1)), 
  SPARKLINE(
    {_Seg1, _Seg2, _"&amp;"Seg3, _Seg4, _Seg5, _Seg6}, 
    {""charttype"", ""bar""; ""color1"", ""white""; ""color2"", _Color; ""color3"", ""white""; ""color4"", ""red""; ""color5"", ""white""; ""color6"", _Color; ""empty"", ""zero""; ""max"", _PE-_PS+1}
  )
)"),"")</f>
        <v/>
      </c>
      <c r="AC134" s="35" t="s">
        <v>413</v>
      </c>
    </row>
    <row r="135" spans="1:29">
      <c r="B135" s="40"/>
      <c r="N135" s="2"/>
      <c r="O135" s="2"/>
      <c r="T135" s="2"/>
      <c r="U135" s="2"/>
      <c r="Z135" s="3"/>
      <c r="AA135" s="3"/>
    </row>
    <row r="136" spans="1:29">
      <c r="B136" s="40"/>
      <c r="N136" s="2"/>
      <c r="O136" s="2"/>
      <c r="T136" s="2"/>
      <c r="U136" s="2"/>
      <c r="Z136" s="3"/>
      <c r="AA136" s="3"/>
    </row>
    <row r="137" spans="1:29">
      <c r="B137" s="40"/>
      <c r="N137" s="2"/>
      <c r="O137" s="2"/>
      <c r="T137" s="2"/>
      <c r="U137" s="2"/>
      <c r="Z137" s="3"/>
      <c r="AA137" s="3"/>
    </row>
    <row r="138" spans="1:29">
      <c r="B138" s="40"/>
      <c r="N138" s="2"/>
      <c r="O138" s="2"/>
      <c r="T138" s="2"/>
      <c r="U138" s="2"/>
      <c r="Z138" s="3"/>
      <c r="AA138" s="3"/>
    </row>
    <row r="139" spans="1:29">
      <c r="B139" s="40"/>
      <c r="N139" s="2"/>
      <c r="O139" s="2"/>
      <c r="T139" s="2"/>
      <c r="U139" s="2"/>
      <c r="Z139" s="3"/>
      <c r="AA139" s="3"/>
    </row>
    <row r="140" spans="1:29">
      <c r="B140" s="40"/>
      <c r="N140" s="2"/>
      <c r="O140" s="2"/>
      <c r="T140" s="2"/>
      <c r="U140" s="2"/>
      <c r="Z140" s="3"/>
      <c r="AA140" s="3"/>
    </row>
    <row r="141" spans="1:29">
      <c r="B141" s="40"/>
      <c r="N141" s="2"/>
      <c r="O141" s="2"/>
      <c r="T141" s="2"/>
      <c r="U141" s="2"/>
      <c r="Z141" s="3"/>
      <c r="AA141" s="3"/>
    </row>
    <row r="142" spans="1:29">
      <c r="B142" s="40"/>
      <c r="N142" s="2"/>
      <c r="O142" s="2"/>
      <c r="T142" s="2"/>
      <c r="U142" s="2"/>
      <c r="Z142" s="3"/>
      <c r="AA142" s="3"/>
    </row>
    <row r="143" spans="1:29">
      <c r="B143" s="40"/>
      <c r="N143" s="2"/>
      <c r="O143" s="2"/>
      <c r="T143" s="2"/>
      <c r="U143" s="2"/>
      <c r="Z143" s="3"/>
      <c r="AA143" s="3"/>
    </row>
    <row r="144" spans="1:29">
      <c r="B144" s="40"/>
      <c r="N144" s="2"/>
      <c r="O144" s="2"/>
      <c r="T144" s="2"/>
      <c r="U144" s="2"/>
      <c r="Z144" s="3"/>
      <c r="AA144" s="3"/>
    </row>
    <row r="145" spans="2:27">
      <c r="B145" s="40"/>
      <c r="N145" s="2"/>
      <c r="O145" s="2"/>
      <c r="T145" s="2"/>
      <c r="U145" s="2"/>
      <c r="Z145" s="3"/>
      <c r="AA145" s="3"/>
    </row>
    <row r="146" spans="2:27">
      <c r="B146" s="40"/>
      <c r="N146" s="2"/>
      <c r="O146" s="2"/>
      <c r="T146" s="2"/>
      <c r="U146" s="2"/>
      <c r="Z146" s="3"/>
      <c r="AA146" s="3"/>
    </row>
    <row r="147" spans="2:27">
      <c r="B147" s="40"/>
      <c r="N147" s="2"/>
      <c r="O147" s="2"/>
      <c r="T147" s="2"/>
      <c r="U147" s="2"/>
      <c r="Z147" s="3"/>
      <c r="AA147" s="3"/>
    </row>
    <row r="148" spans="2:27">
      <c r="B148" s="40"/>
      <c r="N148" s="2"/>
      <c r="O148" s="2"/>
      <c r="T148" s="2"/>
      <c r="U148" s="2"/>
      <c r="Z148" s="3"/>
      <c r="AA148" s="3"/>
    </row>
    <row r="149" spans="2:27">
      <c r="B149" s="40"/>
      <c r="N149" s="2"/>
      <c r="O149" s="2"/>
      <c r="T149" s="2"/>
      <c r="U149" s="2"/>
      <c r="Z149" s="3"/>
      <c r="AA149" s="3"/>
    </row>
    <row r="150" spans="2:27">
      <c r="B150" s="40"/>
      <c r="N150" s="2"/>
      <c r="O150" s="2"/>
      <c r="T150" s="2"/>
      <c r="U150" s="2"/>
      <c r="Z150" s="3"/>
      <c r="AA150" s="3"/>
    </row>
    <row r="151" spans="2:27">
      <c r="B151" s="40"/>
      <c r="N151" s="2"/>
      <c r="O151" s="2"/>
      <c r="T151" s="2"/>
      <c r="U151" s="2"/>
      <c r="Z151" s="3"/>
      <c r="AA151" s="3"/>
    </row>
    <row r="152" spans="2:27">
      <c r="B152" s="40"/>
      <c r="N152" s="2"/>
      <c r="O152" s="2"/>
      <c r="T152" s="2"/>
      <c r="U152" s="2"/>
      <c r="Z152" s="3"/>
      <c r="AA152" s="3"/>
    </row>
    <row r="153" spans="2:27">
      <c r="B153" s="40"/>
      <c r="N153" s="2"/>
      <c r="O153" s="2"/>
      <c r="T153" s="2"/>
      <c r="U153" s="2"/>
      <c r="Z153" s="3"/>
      <c r="AA153" s="3"/>
    </row>
    <row r="154" spans="2:27">
      <c r="B154" s="40"/>
      <c r="N154" s="2"/>
      <c r="O154" s="2"/>
      <c r="T154" s="2"/>
      <c r="U154" s="2"/>
      <c r="Z154" s="3"/>
      <c r="AA154" s="3"/>
    </row>
    <row r="155" spans="2:27">
      <c r="B155" s="40"/>
      <c r="N155" s="2"/>
      <c r="O155" s="2"/>
      <c r="T155" s="2"/>
      <c r="U155" s="2"/>
      <c r="Z155" s="3"/>
      <c r="AA155" s="3"/>
    </row>
    <row r="156" spans="2:27">
      <c r="B156" s="40"/>
      <c r="N156" s="2"/>
      <c r="O156" s="2"/>
      <c r="T156" s="2"/>
      <c r="U156" s="2"/>
      <c r="Z156" s="3"/>
      <c r="AA156" s="3"/>
    </row>
    <row r="157" spans="2:27">
      <c r="B157" s="40"/>
      <c r="N157" s="2"/>
      <c r="O157" s="2"/>
      <c r="T157" s="2"/>
      <c r="U157" s="2"/>
      <c r="Z157" s="3"/>
      <c r="AA157" s="3"/>
    </row>
    <row r="158" spans="2:27">
      <c r="B158" s="40"/>
      <c r="N158" s="2"/>
      <c r="O158" s="2"/>
      <c r="T158" s="2"/>
      <c r="U158" s="2"/>
      <c r="Z158" s="3"/>
      <c r="AA158" s="3"/>
    </row>
    <row r="159" spans="2:27">
      <c r="B159" s="40"/>
      <c r="N159" s="2"/>
      <c r="O159" s="2"/>
      <c r="T159" s="2"/>
      <c r="U159" s="2"/>
      <c r="Z159" s="3"/>
      <c r="AA159" s="3"/>
    </row>
    <row r="160" spans="2:27">
      <c r="B160" s="40"/>
      <c r="N160" s="2"/>
      <c r="O160" s="2"/>
      <c r="T160" s="2"/>
      <c r="U160" s="2"/>
      <c r="Z160" s="3"/>
      <c r="AA160" s="3"/>
    </row>
    <row r="161" spans="2:27">
      <c r="B161" s="40"/>
      <c r="N161" s="2"/>
      <c r="O161" s="2"/>
      <c r="T161" s="2"/>
      <c r="U161" s="2"/>
      <c r="Z161" s="3"/>
      <c r="AA161" s="3"/>
    </row>
    <row r="162" spans="2:27">
      <c r="B162" s="40"/>
      <c r="N162" s="2"/>
      <c r="O162" s="2"/>
      <c r="T162" s="2"/>
      <c r="U162" s="2"/>
      <c r="Z162" s="3"/>
      <c r="AA162" s="3"/>
    </row>
    <row r="163" spans="2:27">
      <c r="B163" s="40"/>
      <c r="N163" s="2"/>
      <c r="O163" s="2"/>
      <c r="T163" s="2"/>
      <c r="U163" s="2"/>
      <c r="Z163" s="3"/>
      <c r="AA163" s="3"/>
    </row>
    <row r="164" spans="2:27">
      <c r="B164" s="40"/>
      <c r="N164" s="2"/>
      <c r="O164" s="2"/>
      <c r="T164" s="2"/>
      <c r="U164" s="2"/>
      <c r="Z164" s="3"/>
      <c r="AA164" s="3"/>
    </row>
    <row r="165" spans="2:27">
      <c r="B165" s="40"/>
      <c r="N165" s="2"/>
      <c r="O165" s="2"/>
      <c r="T165" s="2"/>
      <c r="U165" s="2"/>
      <c r="Z165" s="3"/>
      <c r="AA165" s="3"/>
    </row>
    <row r="166" spans="2:27">
      <c r="B166" s="40"/>
      <c r="N166" s="2"/>
      <c r="O166" s="2"/>
      <c r="T166" s="2"/>
      <c r="U166" s="2"/>
      <c r="Z166" s="3"/>
      <c r="AA166" s="3"/>
    </row>
    <row r="167" spans="2:27">
      <c r="B167" s="40"/>
      <c r="N167" s="2"/>
      <c r="O167" s="2"/>
      <c r="T167" s="2"/>
      <c r="U167" s="2"/>
      <c r="Z167" s="3"/>
      <c r="AA167" s="3"/>
    </row>
    <row r="168" spans="2:27">
      <c r="B168" s="40"/>
      <c r="N168" s="2"/>
      <c r="O168" s="2"/>
      <c r="T168" s="2"/>
      <c r="U168" s="2"/>
      <c r="Z168" s="3"/>
      <c r="AA168" s="3"/>
    </row>
    <row r="169" spans="2:27">
      <c r="B169" s="40"/>
      <c r="N169" s="2"/>
      <c r="O169" s="2"/>
      <c r="T169" s="2"/>
      <c r="U169" s="2"/>
      <c r="Z169" s="3"/>
      <c r="AA169" s="3"/>
    </row>
    <row r="170" spans="2:27">
      <c r="B170" s="40"/>
      <c r="N170" s="2"/>
      <c r="O170" s="2"/>
      <c r="T170" s="2"/>
      <c r="U170" s="2"/>
      <c r="Z170" s="3"/>
      <c r="AA170" s="3"/>
    </row>
    <row r="171" spans="2:27">
      <c r="B171" s="40"/>
      <c r="N171" s="2"/>
      <c r="O171" s="2"/>
      <c r="T171" s="2"/>
      <c r="U171" s="2"/>
      <c r="Z171" s="3"/>
      <c r="AA171" s="3"/>
    </row>
    <row r="172" spans="2:27">
      <c r="B172" s="40"/>
      <c r="N172" s="2"/>
      <c r="O172" s="2"/>
      <c r="T172" s="2"/>
      <c r="U172" s="2"/>
      <c r="Z172" s="3"/>
      <c r="AA172" s="3"/>
    </row>
    <row r="173" spans="2:27">
      <c r="B173" s="40"/>
      <c r="N173" s="2"/>
      <c r="O173" s="2"/>
      <c r="T173" s="2"/>
      <c r="U173" s="2"/>
      <c r="Z173" s="3"/>
      <c r="AA173" s="3"/>
    </row>
    <row r="174" spans="2:27">
      <c r="B174" s="40"/>
      <c r="N174" s="2"/>
      <c r="O174" s="2"/>
      <c r="T174" s="2"/>
      <c r="U174" s="2"/>
      <c r="Z174" s="3"/>
      <c r="AA174" s="3"/>
    </row>
    <row r="175" spans="2:27">
      <c r="B175" s="40"/>
      <c r="N175" s="2"/>
      <c r="O175" s="2"/>
      <c r="T175" s="2"/>
      <c r="U175" s="2"/>
      <c r="Z175" s="3"/>
      <c r="AA175" s="3"/>
    </row>
    <row r="176" spans="2:27">
      <c r="B176" s="40"/>
      <c r="N176" s="2"/>
      <c r="O176" s="2"/>
      <c r="T176" s="2"/>
      <c r="U176" s="2"/>
      <c r="Z176" s="3"/>
      <c r="AA176" s="3"/>
    </row>
    <row r="177" spans="2:27">
      <c r="B177" s="40"/>
      <c r="N177" s="2"/>
      <c r="O177" s="2"/>
      <c r="T177" s="2"/>
      <c r="U177" s="2"/>
      <c r="Z177" s="3"/>
      <c r="AA177" s="3"/>
    </row>
    <row r="178" spans="2:27">
      <c r="B178" s="40"/>
      <c r="N178" s="2"/>
      <c r="O178" s="2"/>
      <c r="T178" s="2"/>
      <c r="U178" s="2"/>
      <c r="Z178" s="3"/>
      <c r="AA178" s="3"/>
    </row>
    <row r="179" spans="2:27">
      <c r="B179" s="40"/>
      <c r="N179" s="2"/>
      <c r="O179" s="2"/>
      <c r="T179" s="2"/>
      <c r="U179" s="2"/>
      <c r="Z179" s="3"/>
      <c r="AA179" s="3"/>
    </row>
    <row r="180" spans="2:27">
      <c r="B180" s="40"/>
      <c r="N180" s="2"/>
      <c r="O180" s="2"/>
      <c r="T180" s="2"/>
      <c r="U180" s="2"/>
      <c r="Z180" s="3"/>
      <c r="AA180" s="3"/>
    </row>
    <row r="181" spans="2:27">
      <c r="B181" s="40"/>
      <c r="N181" s="2"/>
      <c r="O181" s="2"/>
      <c r="T181" s="2"/>
      <c r="U181" s="2"/>
      <c r="Z181" s="3"/>
      <c r="AA181" s="3"/>
    </row>
    <row r="182" spans="2:27">
      <c r="B182" s="40"/>
      <c r="N182" s="2"/>
      <c r="O182" s="2"/>
      <c r="T182" s="2"/>
      <c r="U182" s="2"/>
      <c r="Z182" s="3"/>
      <c r="AA182" s="3"/>
    </row>
    <row r="183" spans="2:27">
      <c r="B183" s="40"/>
      <c r="N183" s="2"/>
      <c r="O183" s="2"/>
      <c r="T183" s="2"/>
      <c r="U183" s="2"/>
      <c r="Z183" s="3"/>
      <c r="AA183" s="3"/>
    </row>
    <row r="184" spans="2:27">
      <c r="B184" s="40"/>
      <c r="N184" s="2"/>
      <c r="O184" s="2"/>
      <c r="T184" s="2"/>
      <c r="U184" s="2"/>
      <c r="Z184" s="3"/>
      <c r="AA184" s="3"/>
    </row>
    <row r="185" spans="2:27">
      <c r="B185" s="40"/>
      <c r="N185" s="2"/>
      <c r="O185" s="2"/>
      <c r="T185" s="2"/>
      <c r="U185" s="2"/>
      <c r="Z185" s="3"/>
      <c r="AA185" s="3"/>
    </row>
    <row r="186" spans="2:27">
      <c r="B186" s="40"/>
      <c r="N186" s="2"/>
      <c r="O186" s="2"/>
      <c r="T186" s="2"/>
      <c r="U186" s="2"/>
      <c r="Z186" s="3"/>
      <c r="AA186" s="3"/>
    </row>
    <row r="187" spans="2:27">
      <c r="B187" s="40"/>
      <c r="N187" s="2"/>
      <c r="O187" s="2"/>
      <c r="T187" s="2"/>
      <c r="U187" s="2"/>
      <c r="Z187" s="3"/>
      <c r="AA187" s="3"/>
    </row>
    <row r="188" spans="2:27">
      <c r="B188" s="40"/>
      <c r="N188" s="2"/>
      <c r="O188" s="2"/>
      <c r="T188" s="2"/>
      <c r="U188" s="2"/>
      <c r="Z188" s="3"/>
      <c r="AA188" s="3"/>
    </row>
    <row r="189" spans="2:27">
      <c r="B189" s="40"/>
      <c r="N189" s="2"/>
      <c r="O189" s="2"/>
      <c r="T189" s="2"/>
      <c r="U189" s="2"/>
      <c r="Z189" s="3"/>
      <c r="AA189" s="3"/>
    </row>
    <row r="190" spans="2:27">
      <c r="B190" s="40"/>
      <c r="N190" s="2"/>
      <c r="O190" s="2"/>
      <c r="T190" s="2"/>
      <c r="U190" s="2"/>
      <c r="Z190" s="3"/>
      <c r="AA190" s="3"/>
    </row>
    <row r="191" spans="2:27">
      <c r="B191" s="40"/>
      <c r="N191" s="2"/>
      <c r="O191" s="2"/>
      <c r="T191" s="2"/>
      <c r="U191" s="2"/>
      <c r="Z191" s="3"/>
      <c r="AA191" s="3"/>
    </row>
    <row r="192" spans="2:27">
      <c r="B192" s="40"/>
      <c r="N192" s="2"/>
      <c r="O192" s="2"/>
      <c r="T192" s="2"/>
      <c r="U192" s="2"/>
      <c r="Z192" s="3"/>
      <c r="AA192" s="3"/>
    </row>
    <row r="193" spans="2:27">
      <c r="B193" s="40"/>
      <c r="N193" s="2"/>
      <c r="O193" s="2"/>
      <c r="T193" s="2"/>
      <c r="U193" s="2"/>
      <c r="Z193" s="3"/>
      <c r="AA193" s="3"/>
    </row>
    <row r="194" spans="2:27">
      <c r="B194" s="40"/>
      <c r="N194" s="2"/>
      <c r="O194" s="2"/>
      <c r="T194" s="2"/>
      <c r="U194" s="2"/>
      <c r="Z194" s="3"/>
      <c r="AA194" s="3"/>
    </row>
    <row r="195" spans="2:27">
      <c r="B195" s="40"/>
      <c r="N195" s="2"/>
      <c r="O195" s="2"/>
      <c r="T195" s="2"/>
      <c r="U195" s="2"/>
      <c r="Z195" s="3"/>
      <c r="AA195" s="3"/>
    </row>
    <row r="196" spans="2:27">
      <c r="B196" s="40"/>
      <c r="N196" s="2"/>
      <c r="O196" s="2"/>
      <c r="T196" s="2"/>
      <c r="U196" s="2"/>
      <c r="Z196" s="3"/>
      <c r="AA196" s="3"/>
    </row>
    <row r="197" spans="2:27">
      <c r="B197" s="40"/>
      <c r="N197" s="2"/>
      <c r="O197" s="2"/>
      <c r="T197" s="2"/>
      <c r="U197" s="2"/>
      <c r="Z197" s="3"/>
      <c r="AA197" s="3"/>
    </row>
    <row r="198" spans="2:27">
      <c r="B198" s="40"/>
      <c r="N198" s="2"/>
      <c r="O198" s="2"/>
      <c r="T198" s="2"/>
      <c r="U198" s="2"/>
      <c r="Z198" s="3"/>
      <c r="AA198" s="3"/>
    </row>
    <row r="199" spans="2:27">
      <c r="B199" s="40"/>
      <c r="N199" s="2"/>
      <c r="O199" s="2"/>
      <c r="T199" s="2"/>
      <c r="U199" s="2"/>
      <c r="Z199" s="3"/>
      <c r="AA199" s="3"/>
    </row>
    <row r="200" spans="2:27">
      <c r="B200" s="40"/>
      <c r="N200" s="2"/>
      <c r="O200" s="2"/>
      <c r="T200" s="2"/>
      <c r="U200" s="2"/>
      <c r="Z200" s="3"/>
      <c r="AA200" s="3"/>
    </row>
    <row r="201" spans="2:27">
      <c r="B201" s="40"/>
      <c r="N201" s="2"/>
      <c r="O201" s="2"/>
      <c r="T201" s="2"/>
      <c r="U201" s="2"/>
      <c r="Z201" s="3"/>
      <c r="AA201" s="3"/>
    </row>
    <row r="202" spans="2:27">
      <c r="B202" s="40"/>
      <c r="N202" s="2"/>
      <c r="O202" s="2"/>
      <c r="T202" s="2"/>
      <c r="U202" s="2"/>
      <c r="Z202" s="3"/>
      <c r="AA202" s="3"/>
    </row>
    <row r="203" spans="2:27">
      <c r="B203" s="40"/>
      <c r="N203" s="2"/>
      <c r="O203" s="2"/>
      <c r="T203" s="2"/>
      <c r="U203" s="2"/>
      <c r="Z203" s="3"/>
      <c r="AA203" s="3"/>
    </row>
    <row r="204" spans="2:27">
      <c r="B204" s="40"/>
      <c r="N204" s="2"/>
      <c r="O204" s="2"/>
      <c r="T204" s="2"/>
      <c r="U204" s="2"/>
      <c r="Z204" s="3"/>
      <c r="AA204" s="3"/>
    </row>
    <row r="205" spans="2:27">
      <c r="B205" s="40"/>
      <c r="N205" s="2"/>
      <c r="O205" s="2"/>
      <c r="T205" s="2"/>
      <c r="U205" s="2"/>
      <c r="Z205" s="3"/>
      <c r="AA205" s="3"/>
    </row>
    <row r="206" spans="2:27">
      <c r="B206" s="40"/>
      <c r="N206" s="2"/>
      <c r="O206" s="2"/>
      <c r="T206" s="2"/>
      <c r="U206" s="2"/>
      <c r="Z206" s="3"/>
      <c r="AA206" s="3"/>
    </row>
    <row r="207" spans="2:27">
      <c r="B207" s="40"/>
      <c r="N207" s="2"/>
      <c r="O207" s="2"/>
      <c r="T207" s="2"/>
      <c r="U207" s="2"/>
      <c r="Z207" s="3"/>
      <c r="AA207" s="3"/>
    </row>
    <row r="208" spans="2:27">
      <c r="B208" s="40"/>
      <c r="N208" s="2"/>
      <c r="O208" s="2"/>
      <c r="T208" s="2"/>
      <c r="U208" s="2"/>
      <c r="Z208" s="3"/>
      <c r="AA208" s="3"/>
    </row>
    <row r="209" spans="2:27">
      <c r="B209" s="40"/>
      <c r="N209" s="2"/>
      <c r="O209" s="2"/>
      <c r="T209" s="2"/>
      <c r="U209" s="2"/>
      <c r="Z209" s="3"/>
      <c r="AA209" s="3"/>
    </row>
    <row r="210" spans="2:27">
      <c r="B210" s="40"/>
      <c r="N210" s="2"/>
      <c r="O210" s="2"/>
      <c r="T210" s="2"/>
      <c r="U210" s="2"/>
      <c r="Z210" s="3"/>
      <c r="AA210" s="3"/>
    </row>
    <row r="211" spans="2:27">
      <c r="B211" s="40"/>
      <c r="N211" s="2"/>
      <c r="O211" s="2"/>
      <c r="T211" s="2"/>
      <c r="U211" s="2"/>
      <c r="Z211" s="3"/>
      <c r="AA211" s="3"/>
    </row>
    <row r="212" spans="2:27">
      <c r="B212" s="40"/>
      <c r="N212" s="2"/>
      <c r="O212" s="2"/>
      <c r="T212" s="2"/>
      <c r="U212" s="2"/>
      <c r="Z212" s="3"/>
      <c r="AA212" s="3"/>
    </row>
    <row r="213" spans="2:27">
      <c r="B213" s="40"/>
      <c r="N213" s="2"/>
      <c r="O213" s="2"/>
      <c r="T213" s="2"/>
      <c r="U213" s="2"/>
      <c r="Z213" s="3"/>
      <c r="AA213" s="3"/>
    </row>
    <row r="214" spans="2:27">
      <c r="B214" s="40"/>
      <c r="N214" s="2"/>
      <c r="O214" s="2"/>
      <c r="T214" s="2"/>
      <c r="U214" s="2"/>
      <c r="Z214" s="3"/>
      <c r="AA214" s="3"/>
    </row>
    <row r="215" spans="2:27">
      <c r="B215" s="40"/>
      <c r="N215" s="2"/>
      <c r="O215" s="2"/>
      <c r="T215" s="2"/>
      <c r="U215" s="2"/>
      <c r="Z215" s="3"/>
      <c r="AA215" s="3"/>
    </row>
    <row r="216" spans="2:27">
      <c r="B216" s="40"/>
      <c r="N216" s="2"/>
      <c r="O216" s="2"/>
      <c r="T216" s="2"/>
      <c r="U216" s="2"/>
      <c r="Z216" s="3"/>
      <c r="AA216" s="3"/>
    </row>
    <row r="217" spans="2:27">
      <c r="B217" s="40"/>
      <c r="N217" s="2"/>
      <c r="O217" s="2"/>
      <c r="T217" s="2"/>
      <c r="U217" s="2"/>
      <c r="Z217" s="3"/>
      <c r="AA217" s="3"/>
    </row>
    <row r="218" spans="2:27">
      <c r="B218" s="40"/>
      <c r="N218" s="2"/>
      <c r="O218" s="2"/>
      <c r="T218" s="2"/>
      <c r="U218" s="2"/>
      <c r="Z218" s="3"/>
      <c r="AA218" s="3"/>
    </row>
    <row r="219" spans="2:27">
      <c r="B219" s="40"/>
      <c r="N219" s="2"/>
      <c r="O219" s="2"/>
      <c r="T219" s="2"/>
      <c r="U219" s="2"/>
      <c r="Z219" s="3"/>
      <c r="AA219" s="3"/>
    </row>
    <row r="220" spans="2:27">
      <c r="B220" s="40"/>
      <c r="N220" s="2"/>
      <c r="O220" s="2"/>
      <c r="T220" s="2"/>
      <c r="U220" s="2"/>
      <c r="Z220" s="3"/>
      <c r="AA220" s="3"/>
    </row>
    <row r="221" spans="2:27">
      <c r="B221" s="40"/>
      <c r="N221" s="2"/>
      <c r="O221" s="2"/>
      <c r="T221" s="2"/>
      <c r="U221" s="2"/>
      <c r="Z221" s="3"/>
      <c r="AA221" s="3"/>
    </row>
    <row r="222" spans="2:27">
      <c r="B222" s="40"/>
      <c r="N222" s="2"/>
      <c r="O222" s="2"/>
      <c r="T222" s="2"/>
      <c r="U222" s="2"/>
      <c r="Z222" s="3"/>
      <c r="AA222" s="3"/>
    </row>
    <row r="223" spans="2:27">
      <c r="B223" s="40"/>
      <c r="N223" s="2"/>
      <c r="O223" s="2"/>
      <c r="T223" s="2"/>
      <c r="U223" s="2"/>
      <c r="Z223" s="3"/>
      <c r="AA223" s="3"/>
    </row>
    <row r="224" spans="2:27">
      <c r="B224" s="40"/>
      <c r="N224" s="2"/>
      <c r="O224" s="2"/>
      <c r="T224" s="2"/>
      <c r="U224" s="2"/>
      <c r="Z224" s="3"/>
      <c r="AA224" s="3"/>
    </row>
    <row r="225" spans="2:27">
      <c r="B225" s="40"/>
      <c r="N225" s="2"/>
      <c r="O225" s="2"/>
      <c r="T225" s="2"/>
      <c r="U225" s="2"/>
      <c r="Z225" s="3"/>
      <c r="AA225" s="3"/>
    </row>
    <row r="226" spans="2:27">
      <c r="B226" s="40"/>
      <c r="N226" s="2"/>
      <c r="O226" s="2"/>
      <c r="T226" s="2"/>
      <c r="U226" s="2"/>
      <c r="Z226" s="3"/>
      <c r="AA226" s="3"/>
    </row>
    <row r="227" spans="2:27">
      <c r="B227" s="40"/>
      <c r="N227" s="2"/>
      <c r="O227" s="2"/>
      <c r="T227" s="2"/>
      <c r="U227" s="2"/>
      <c r="Z227" s="3"/>
      <c r="AA227" s="3"/>
    </row>
    <row r="228" spans="2:27">
      <c r="B228" s="40"/>
      <c r="N228" s="2"/>
      <c r="O228" s="2"/>
      <c r="T228" s="2"/>
      <c r="U228" s="2"/>
      <c r="Z228" s="3"/>
      <c r="AA228" s="3"/>
    </row>
    <row r="229" spans="2:27">
      <c r="B229" s="40"/>
      <c r="N229" s="2"/>
      <c r="O229" s="2"/>
      <c r="T229" s="2"/>
      <c r="U229" s="2"/>
      <c r="Z229" s="3"/>
      <c r="AA229" s="3"/>
    </row>
    <row r="230" spans="2:27">
      <c r="B230" s="40"/>
      <c r="N230" s="2"/>
      <c r="O230" s="2"/>
      <c r="T230" s="2"/>
      <c r="U230" s="2"/>
      <c r="Z230" s="3"/>
      <c r="AA230" s="3"/>
    </row>
    <row r="231" spans="2:27">
      <c r="B231" s="40"/>
      <c r="N231" s="2"/>
      <c r="O231" s="2"/>
      <c r="T231" s="2"/>
      <c r="U231" s="2"/>
      <c r="Z231" s="3"/>
      <c r="AA231" s="3"/>
    </row>
    <row r="232" spans="2:27">
      <c r="B232" s="40"/>
      <c r="N232" s="2"/>
      <c r="O232" s="2"/>
      <c r="T232" s="2"/>
      <c r="U232" s="2"/>
      <c r="Z232" s="3"/>
      <c r="AA232" s="3"/>
    </row>
    <row r="233" spans="2:27">
      <c r="B233" s="40"/>
      <c r="N233" s="2"/>
      <c r="O233" s="2"/>
      <c r="T233" s="2"/>
      <c r="U233" s="2"/>
      <c r="Z233" s="3"/>
      <c r="AA233" s="3"/>
    </row>
    <row r="234" spans="2:27">
      <c r="B234" s="40"/>
      <c r="N234" s="2"/>
      <c r="O234" s="2"/>
      <c r="T234" s="2"/>
      <c r="U234" s="2"/>
      <c r="Z234" s="3"/>
      <c r="AA234" s="3"/>
    </row>
    <row r="235" spans="2:27">
      <c r="B235" s="40"/>
      <c r="N235" s="2"/>
      <c r="O235" s="2"/>
      <c r="T235" s="2"/>
      <c r="U235" s="2"/>
      <c r="Z235" s="3"/>
      <c r="AA235" s="3"/>
    </row>
    <row r="236" spans="2:27">
      <c r="B236" s="40"/>
      <c r="N236" s="2"/>
      <c r="O236" s="2"/>
      <c r="T236" s="2"/>
      <c r="U236" s="2"/>
      <c r="Z236" s="3"/>
      <c r="AA236" s="3"/>
    </row>
    <row r="237" spans="2:27">
      <c r="B237" s="40"/>
      <c r="N237" s="2"/>
      <c r="O237" s="2"/>
      <c r="T237" s="2"/>
      <c r="U237" s="2"/>
      <c r="Z237" s="3"/>
      <c r="AA237" s="3"/>
    </row>
    <row r="238" spans="2:27">
      <c r="B238" s="40"/>
      <c r="N238" s="2"/>
      <c r="O238" s="2"/>
      <c r="T238" s="2"/>
      <c r="U238" s="2"/>
      <c r="Z238" s="3"/>
      <c r="AA238" s="3"/>
    </row>
    <row r="239" spans="2:27">
      <c r="B239" s="40"/>
      <c r="N239" s="2"/>
      <c r="O239" s="2"/>
      <c r="T239" s="2"/>
      <c r="U239" s="2"/>
      <c r="Z239" s="3"/>
      <c r="AA239" s="3"/>
    </row>
    <row r="240" spans="2:27">
      <c r="B240" s="40"/>
      <c r="N240" s="2"/>
      <c r="O240" s="2"/>
      <c r="T240" s="2"/>
      <c r="U240" s="2"/>
      <c r="Z240" s="3"/>
      <c r="AA240" s="3"/>
    </row>
    <row r="241" spans="2:27">
      <c r="B241" s="40"/>
      <c r="N241" s="2"/>
      <c r="O241" s="2"/>
      <c r="T241" s="2"/>
      <c r="U241" s="2"/>
      <c r="Z241" s="3"/>
      <c r="AA241" s="3"/>
    </row>
    <row r="242" spans="2:27">
      <c r="B242" s="40"/>
      <c r="N242" s="2"/>
      <c r="O242" s="2"/>
      <c r="T242" s="2"/>
      <c r="U242" s="2"/>
      <c r="Z242" s="3"/>
      <c r="AA242" s="3"/>
    </row>
    <row r="243" spans="2:27">
      <c r="B243" s="40"/>
      <c r="N243" s="2"/>
      <c r="O243" s="2"/>
      <c r="T243" s="2"/>
      <c r="U243" s="2"/>
      <c r="Z243" s="3"/>
      <c r="AA243" s="3"/>
    </row>
    <row r="244" spans="2:27">
      <c r="B244" s="40"/>
      <c r="N244" s="2"/>
      <c r="O244" s="2"/>
      <c r="T244" s="2"/>
      <c r="U244" s="2"/>
      <c r="Z244" s="3"/>
      <c r="AA244" s="3"/>
    </row>
    <row r="245" spans="2:27">
      <c r="B245" s="40"/>
      <c r="N245" s="2"/>
      <c r="O245" s="2"/>
      <c r="T245" s="2"/>
      <c r="U245" s="2"/>
      <c r="Z245" s="3"/>
      <c r="AA245" s="3"/>
    </row>
    <row r="246" spans="2:27">
      <c r="B246" s="40"/>
      <c r="N246" s="2"/>
      <c r="O246" s="2"/>
      <c r="T246" s="2"/>
      <c r="U246" s="2"/>
      <c r="Z246" s="3"/>
      <c r="AA246" s="3"/>
    </row>
    <row r="247" spans="2:27">
      <c r="B247" s="40"/>
      <c r="N247" s="2"/>
      <c r="O247" s="2"/>
      <c r="T247" s="2"/>
      <c r="U247" s="2"/>
      <c r="Z247" s="3"/>
      <c r="AA247" s="3"/>
    </row>
    <row r="248" spans="2:27">
      <c r="B248" s="40"/>
      <c r="N248" s="2"/>
      <c r="O248" s="2"/>
      <c r="T248" s="2"/>
      <c r="U248" s="2"/>
      <c r="Z248" s="3"/>
      <c r="AA248" s="3"/>
    </row>
    <row r="249" spans="2:27">
      <c r="B249" s="40"/>
      <c r="N249" s="2"/>
      <c r="O249" s="2"/>
      <c r="T249" s="2"/>
      <c r="U249" s="2"/>
      <c r="Z249" s="3"/>
      <c r="AA249" s="3"/>
    </row>
    <row r="250" spans="2:27">
      <c r="B250" s="40"/>
      <c r="N250" s="2"/>
      <c r="O250" s="2"/>
      <c r="T250" s="2"/>
      <c r="U250" s="2"/>
      <c r="Z250" s="3"/>
      <c r="AA250" s="3"/>
    </row>
    <row r="251" spans="2:27">
      <c r="B251" s="40"/>
      <c r="N251" s="2"/>
      <c r="O251" s="2"/>
      <c r="T251" s="2"/>
      <c r="U251" s="2"/>
      <c r="Z251" s="3"/>
      <c r="AA251" s="3"/>
    </row>
    <row r="252" spans="2:27">
      <c r="B252" s="40"/>
      <c r="N252" s="2"/>
      <c r="O252" s="2"/>
      <c r="T252" s="2"/>
      <c r="U252" s="2"/>
      <c r="Z252" s="3"/>
      <c r="AA252" s="3"/>
    </row>
    <row r="253" spans="2:27">
      <c r="B253" s="40"/>
      <c r="N253" s="2"/>
      <c r="O253" s="2"/>
      <c r="T253" s="2"/>
      <c r="U253" s="2"/>
      <c r="Z253" s="3"/>
      <c r="AA253" s="3"/>
    </row>
    <row r="254" spans="2:27">
      <c r="B254" s="40"/>
      <c r="N254" s="2"/>
      <c r="O254" s="2"/>
      <c r="T254" s="2"/>
      <c r="U254" s="2"/>
      <c r="Z254" s="3"/>
      <c r="AA254" s="3"/>
    </row>
    <row r="255" spans="2:27">
      <c r="B255" s="40"/>
      <c r="N255" s="2"/>
      <c r="O255" s="2"/>
      <c r="T255" s="2"/>
      <c r="U255" s="2"/>
      <c r="Z255" s="3"/>
      <c r="AA255" s="3"/>
    </row>
    <row r="256" spans="2:27">
      <c r="B256" s="40"/>
      <c r="N256" s="2"/>
      <c r="O256" s="2"/>
      <c r="T256" s="2"/>
      <c r="U256" s="2"/>
      <c r="Z256" s="3"/>
      <c r="AA256" s="3"/>
    </row>
    <row r="257" spans="2:27">
      <c r="B257" s="40"/>
      <c r="N257" s="2"/>
      <c r="O257" s="2"/>
      <c r="T257" s="2"/>
      <c r="U257" s="2"/>
      <c r="Z257" s="3"/>
      <c r="AA257" s="3"/>
    </row>
    <row r="258" spans="2:27">
      <c r="B258" s="40"/>
      <c r="N258" s="2"/>
      <c r="O258" s="2"/>
      <c r="T258" s="2"/>
      <c r="U258" s="2"/>
      <c r="Z258" s="3"/>
      <c r="AA258" s="3"/>
    </row>
    <row r="259" spans="2:27">
      <c r="B259" s="40"/>
      <c r="N259" s="2"/>
      <c r="O259" s="2"/>
      <c r="T259" s="2"/>
      <c r="U259" s="2"/>
      <c r="Z259" s="3"/>
      <c r="AA259" s="3"/>
    </row>
    <row r="260" spans="2:27">
      <c r="B260" s="40"/>
      <c r="N260" s="2"/>
      <c r="O260" s="2"/>
      <c r="T260" s="2"/>
      <c r="U260" s="2"/>
      <c r="Z260" s="3"/>
      <c r="AA260" s="3"/>
    </row>
    <row r="261" spans="2:27">
      <c r="B261" s="40"/>
      <c r="N261" s="2"/>
      <c r="O261" s="2"/>
      <c r="T261" s="2"/>
      <c r="U261" s="2"/>
      <c r="Z261" s="3"/>
      <c r="AA261" s="3"/>
    </row>
    <row r="262" spans="2:27">
      <c r="B262" s="40"/>
      <c r="N262" s="2"/>
      <c r="O262" s="2"/>
      <c r="T262" s="2"/>
      <c r="U262" s="2"/>
      <c r="Z262" s="3"/>
      <c r="AA262" s="3"/>
    </row>
    <row r="263" spans="2:27">
      <c r="B263" s="40"/>
      <c r="N263" s="2"/>
      <c r="O263" s="2"/>
      <c r="T263" s="2"/>
      <c r="U263" s="2"/>
      <c r="Z263" s="3"/>
      <c r="AA263" s="3"/>
    </row>
    <row r="264" spans="2:27">
      <c r="B264" s="40"/>
      <c r="N264" s="2"/>
      <c r="O264" s="2"/>
      <c r="T264" s="2"/>
      <c r="U264" s="2"/>
      <c r="Z264" s="3"/>
      <c r="AA264" s="3"/>
    </row>
    <row r="265" spans="2:27">
      <c r="B265" s="40"/>
      <c r="N265" s="2"/>
      <c r="O265" s="2"/>
      <c r="T265" s="2"/>
      <c r="U265" s="2"/>
      <c r="Z265" s="3"/>
      <c r="AA265" s="3"/>
    </row>
    <row r="266" spans="2:27">
      <c r="B266" s="40"/>
      <c r="N266" s="2"/>
      <c r="O266" s="2"/>
      <c r="T266" s="2"/>
      <c r="U266" s="2"/>
      <c r="Z266" s="3"/>
      <c r="AA266" s="3"/>
    </row>
    <row r="267" spans="2:27">
      <c r="B267" s="40"/>
      <c r="N267" s="2"/>
      <c r="O267" s="2"/>
      <c r="T267" s="2"/>
      <c r="U267" s="2"/>
      <c r="Z267" s="3"/>
      <c r="AA267" s="3"/>
    </row>
    <row r="268" spans="2:27">
      <c r="B268" s="40"/>
      <c r="N268" s="2"/>
      <c r="O268" s="2"/>
      <c r="T268" s="2"/>
      <c r="U268" s="2"/>
      <c r="Z268" s="3"/>
      <c r="AA268" s="3"/>
    </row>
    <row r="269" spans="2:27">
      <c r="B269" s="40"/>
      <c r="N269" s="2"/>
      <c r="O269" s="2"/>
      <c r="T269" s="2"/>
      <c r="U269" s="2"/>
      <c r="Z269" s="3"/>
      <c r="AA269" s="3"/>
    </row>
    <row r="270" spans="2:27">
      <c r="B270" s="40"/>
      <c r="N270" s="2"/>
      <c r="O270" s="2"/>
      <c r="T270" s="2"/>
      <c r="U270" s="2"/>
      <c r="Z270" s="3"/>
      <c r="AA270" s="3"/>
    </row>
    <row r="271" spans="2:27">
      <c r="B271" s="40"/>
      <c r="N271" s="2"/>
      <c r="O271" s="2"/>
      <c r="T271" s="2"/>
      <c r="U271" s="2"/>
      <c r="Z271" s="3"/>
      <c r="AA271" s="3"/>
    </row>
    <row r="272" spans="2:27">
      <c r="B272" s="40"/>
      <c r="N272" s="2"/>
      <c r="O272" s="2"/>
      <c r="T272" s="2"/>
      <c r="U272" s="2"/>
      <c r="Z272" s="3"/>
      <c r="AA272" s="3"/>
    </row>
    <row r="273" spans="2:27">
      <c r="B273" s="40"/>
      <c r="N273" s="2"/>
      <c r="O273" s="2"/>
      <c r="T273" s="2"/>
      <c r="U273" s="2"/>
      <c r="Z273" s="3"/>
      <c r="AA273" s="3"/>
    </row>
    <row r="274" spans="2:27">
      <c r="B274" s="40"/>
      <c r="N274" s="2"/>
      <c r="O274" s="2"/>
      <c r="T274" s="2"/>
      <c r="U274" s="2"/>
      <c r="Z274" s="3"/>
      <c r="AA274" s="3"/>
    </row>
    <row r="275" spans="2:27">
      <c r="B275" s="40"/>
      <c r="N275" s="2"/>
      <c r="O275" s="2"/>
      <c r="T275" s="2"/>
      <c r="U275" s="2"/>
      <c r="Z275" s="3"/>
      <c r="AA275" s="3"/>
    </row>
    <row r="276" spans="2:27">
      <c r="B276" s="40"/>
      <c r="N276" s="2"/>
      <c r="O276" s="2"/>
      <c r="T276" s="2"/>
      <c r="U276" s="2"/>
      <c r="Z276" s="3"/>
      <c r="AA276" s="3"/>
    </row>
    <row r="277" spans="2:27">
      <c r="B277" s="40"/>
      <c r="N277" s="2"/>
      <c r="O277" s="2"/>
      <c r="T277" s="2"/>
      <c r="U277" s="2"/>
      <c r="Z277" s="3"/>
      <c r="AA277" s="3"/>
    </row>
    <row r="278" spans="2:27">
      <c r="B278" s="40"/>
      <c r="N278" s="2"/>
      <c r="O278" s="2"/>
      <c r="T278" s="2"/>
      <c r="U278" s="2"/>
      <c r="Z278" s="3"/>
      <c r="AA278" s="3"/>
    </row>
    <row r="279" spans="2:27">
      <c r="B279" s="40"/>
      <c r="N279" s="2"/>
      <c r="O279" s="2"/>
      <c r="T279" s="2"/>
      <c r="U279" s="2"/>
      <c r="Z279" s="3"/>
      <c r="AA279" s="3"/>
    </row>
    <row r="280" spans="2:27">
      <c r="B280" s="40"/>
      <c r="N280" s="2"/>
      <c r="O280" s="2"/>
      <c r="T280" s="2"/>
      <c r="U280" s="2"/>
      <c r="Z280" s="3"/>
      <c r="AA280" s="3"/>
    </row>
    <row r="281" spans="2:27">
      <c r="B281" s="40"/>
      <c r="N281" s="2"/>
      <c r="O281" s="2"/>
      <c r="T281" s="2"/>
      <c r="U281" s="2"/>
      <c r="Z281" s="3"/>
      <c r="AA281" s="3"/>
    </row>
    <row r="282" spans="2:27">
      <c r="B282" s="40"/>
      <c r="N282" s="2"/>
      <c r="O282" s="2"/>
      <c r="T282" s="2"/>
      <c r="U282" s="2"/>
      <c r="Z282" s="3"/>
      <c r="AA282" s="3"/>
    </row>
    <row r="283" spans="2:27">
      <c r="B283" s="40"/>
      <c r="N283" s="2"/>
      <c r="O283" s="2"/>
      <c r="T283" s="2"/>
      <c r="U283" s="2"/>
      <c r="Z283" s="3"/>
      <c r="AA283" s="3"/>
    </row>
    <row r="284" spans="2:27">
      <c r="B284" s="40"/>
      <c r="N284" s="2"/>
      <c r="O284" s="2"/>
      <c r="T284" s="2"/>
      <c r="U284" s="2"/>
      <c r="Z284" s="3"/>
      <c r="AA284" s="3"/>
    </row>
    <row r="285" spans="2:27">
      <c r="B285" s="40"/>
      <c r="N285" s="2"/>
      <c r="O285" s="2"/>
      <c r="T285" s="2"/>
      <c r="U285" s="2"/>
      <c r="Z285" s="3"/>
      <c r="AA285" s="3"/>
    </row>
    <row r="286" spans="2:27">
      <c r="B286" s="40"/>
      <c r="N286" s="2"/>
      <c r="O286" s="2"/>
      <c r="T286" s="2"/>
      <c r="U286" s="2"/>
      <c r="Z286" s="3"/>
      <c r="AA286" s="3"/>
    </row>
    <row r="287" spans="2:27">
      <c r="B287" s="40"/>
      <c r="N287" s="2"/>
      <c r="O287" s="2"/>
      <c r="T287" s="2"/>
      <c r="U287" s="2"/>
      <c r="Z287" s="3"/>
      <c r="AA287" s="3"/>
    </row>
    <row r="288" spans="2:27">
      <c r="B288" s="40"/>
      <c r="N288" s="2"/>
      <c r="O288" s="2"/>
      <c r="T288" s="2"/>
      <c r="U288" s="2"/>
      <c r="Z288" s="3"/>
      <c r="AA288" s="3"/>
    </row>
    <row r="289" spans="2:27">
      <c r="B289" s="40"/>
      <c r="N289" s="2"/>
      <c r="O289" s="2"/>
      <c r="T289" s="2"/>
      <c r="U289" s="2"/>
      <c r="Z289" s="3"/>
      <c r="AA289" s="3"/>
    </row>
    <row r="290" spans="2:27">
      <c r="B290" s="40"/>
      <c r="N290" s="2"/>
      <c r="O290" s="2"/>
      <c r="T290" s="2"/>
      <c r="U290" s="2"/>
      <c r="Z290" s="3"/>
      <c r="AA290" s="3"/>
    </row>
    <row r="291" spans="2:27">
      <c r="B291" s="40"/>
      <c r="N291" s="2"/>
      <c r="O291" s="2"/>
      <c r="T291" s="2"/>
      <c r="U291" s="2"/>
      <c r="Z291" s="3"/>
      <c r="AA291" s="3"/>
    </row>
    <row r="292" spans="2:27">
      <c r="B292" s="40"/>
      <c r="N292" s="2"/>
      <c r="O292" s="2"/>
      <c r="T292" s="2"/>
      <c r="U292" s="2"/>
      <c r="Z292" s="3"/>
      <c r="AA292" s="3"/>
    </row>
    <row r="293" spans="2:27">
      <c r="B293" s="40"/>
      <c r="N293" s="2"/>
      <c r="O293" s="2"/>
      <c r="T293" s="2"/>
      <c r="U293" s="2"/>
      <c r="Z293" s="3"/>
      <c r="AA293" s="3"/>
    </row>
    <row r="294" spans="2:27">
      <c r="B294" s="40"/>
      <c r="N294" s="2"/>
      <c r="O294" s="2"/>
      <c r="T294" s="2"/>
      <c r="U294" s="2"/>
      <c r="Z294" s="3"/>
      <c r="AA294" s="3"/>
    </row>
    <row r="295" spans="2:27">
      <c r="B295" s="40"/>
      <c r="N295" s="2"/>
      <c r="O295" s="2"/>
      <c r="T295" s="2"/>
      <c r="U295" s="2"/>
      <c r="Z295" s="3"/>
      <c r="AA295" s="3"/>
    </row>
    <row r="296" spans="2:27">
      <c r="B296" s="40"/>
      <c r="N296" s="2"/>
      <c r="O296" s="2"/>
      <c r="T296" s="2"/>
      <c r="U296" s="2"/>
      <c r="Z296" s="3"/>
      <c r="AA296" s="3"/>
    </row>
    <row r="297" spans="2:27">
      <c r="B297" s="40"/>
      <c r="N297" s="2"/>
      <c r="O297" s="2"/>
      <c r="T297" s="2"/>
      <c r="U297" s="2"/>
      <c r="Z297" s="3"/>
      <c r="AA297" s="3"/>
    </row>
    <row r="298" spans="2:27">
      <c r="B298" s="40"/>
      <c r="N298" s="2"/>
      <c r="O298" s="2"/>
      <c r="T298" s="2"/>
      <c r="U298" s="2"/>
      <c r="Z298" s="3"/>
      <c r="AA298" s="3"/>
    </row>
    <row r="299" spans="2:27">
      <c r="B299" s="40"/>
      <c r="N299" s="2"/>
      <c r="O299" s="2"/>
      <c r="T299" s="2"/>
      <c r="U299" s="2"/>
      <c r="Z299" s="3"/>
      <c r="AA299" s="3"/>
    </row>
    <row r="300" spans="2:27">
      <c r="B300" s="40"/>
      <c r="N300" s="2"/>
      <c r="O300" s="2"/>
      <c r="T300" s="2"/>
      <c r="U300" s="2"/>
      <c r="Z300" s="3"/>
      <c r="AA300" s="3"/>
    </row>
    <row r="301" spans="2:27">
      <c r="B301" s="40"/>
      <c r="N301" s="2"/>
      <c r="O301" s="2"/>
      <c r="T301" s="2"/>
      <c r="U301" s="2"/>
      <c r="Z301" s="3"/>
      <c r="AA301" s="3"/>
    </row>
    <row r="302" spans="2:27">
      <c r="B302" s="40"/>
      <c r="N302" s="2"/>
      <c r="O302" s="2"/>
      <c r="T302" s="2"/>
      <c r="U302" s="2"/>
      <c r="Z302" s="3"/>
      <c r="AA302" s="3"/>
    </row>
    <row r="303" spans="2:27">
      <c r="B303" s="40"/>
      <c r="N303" s="2"/>
      <c r="O303" s="2"/>
      <c r="T303" s="2"/>
      <c r="U303" s="2"/>
      <c r="Z303" s="3"/>
      <c r="AA303" s="3"/>
    </row>
    <row r="304" spans="2:27">
      <c r="B304" s="40"/>
      <c r="N304" s="2"/>
      <c r="O304" s="2"/>
      <c r="T304" s="2"/>
      <c r="U304" s="2"/>
      <c r="Z304" s="3"/>
      <c r="AA304" s="3"/>
    </row>
    <row r="305" spans="2:27">
      <c r="B305" s="40"/>
      <c r="N305" s="2"/>
      <c r="O305" s="2"/>
      <c r="T305" s="2"/>
      <c r="U305" s="2"/>
      <c r="Z305" s="3"/>
      <c r="AA305" s="3"/>
    </row>
    <row r="306" spans="2:27">
      <c r="B306" s="40"/>
      <c r="N306" s="2"/>
      <c r="O306" s="2"/>
      <c r="T306" s="2"/>
      <c r="U306" s="2"/>
      <c r="Z306" s="3"/>
      <c r="AA306" s="3"/>
    </row>
    <row r="307" spans="2:27">
      <c r="B307" s="40"/>
      <c r="N307" s="2"/>
      <c r="O307" s="2"/>
      <c r="T307" s="2"/>
      <c r="U307" s="2"/>
      <c r="Z307" s="3"/>
      <c r="AA307" s="3"/>
    </row>
    <row r="308" spans="2:27">
      <c r="B308" s="40"/>
      <c r="N308" s="2"/>
      <c r="O308" s="2"/>
      <c r="T308" s="2"/>
      <c r="U308" s="2"/>
      <c r="Z308" s="3"/>
      <c r="AA308" s="3"/>
    </row>
    <row r="309" spans="2:27">
      <c r="B309" s="40"/>
      <c r="N309" s="2"/>
      <c r="O309" s="2"/>
      <c r="T309" s="2"/>
      <c r="U309" s="2"/>
      <c r="Z309" s="3"/>
      <c r="AA309" s="3"/>
    </row>
    <row r="310" spans="2:27">
      <c r="B310" s="40"/>
      <c r="N310" s="2"/>
      <c r="O310" s="2"/>
      <c r="T310" s="2"/>
      <c r="U310" s="2"/>
      <c r="Z310" s="3"/>
      <c r="AA310" s="3"/>
    </row>
    <row r="311" spans="2:27">
      <c r="B311" s="40"/>
      <c r="N311" s="2"/>
      <c r="O311" s="2"/>
      <c r="T311" s="2"/>
      <c r="U311" s="2"/>
      <c r="Z311" s="3"/>
      <c r="AA311" s="3"/>
    </row>
    <row r="312" spans="2:27">
      <c r="B312" s="40"/>
      <c r="N312" s="2"/>
      <c r="O312" s="2"/>
      <c r="T312" s="2"/>
      <c r="U312" s="2"/>
      <c r="Z312" s="3"/>
      <c r="AA312" s="3"/>
    </row>
    <row r="313" spans="2:27">
      <c r="B313" s="40"/>
      <c r="N313" s="2"/>
      <c r="O313" s="2"/>
      <c r="T313" s="2"/>
      <c r="U313" s="2"/>
      <c r="Z313" s="3"/>
      <c r="AA313" s="3"/>
    </row>
    <row r="314" spans="2:27">
      <c r="B314" s="40"/>
      <c r="N314" s="2"/>
      <c r="O314" s="2"/>
      <c r="T314" s="2"/>
      <c r="U314" s="2"/>
      <c r="Z314" s="3"/>
      <c r="AA314" s="3"/>
    </row>
    <row r="315" spans="2:27">
      <c r="B315" s="40"/>
      <c r="N315" s="2"/>
      <c r="O315" s="2"/>
      <c r="T315" s="2"/>
      <c r="U315" s="2"/>
      <c r="Z315" s="3"/>
      <c r="AA315" s="3"/>
    </row>
    <row r="316" spans="2:27">
      <c r="B316" s="40"/>
      <c r="N316" s="2"/>
      <c r="O316" s="2"/>
      <c r="T316" s="2"/>
      <c r="U316" s="2"/>
      <c r="Z316" s="3"/>
      <c r="AA316" s="3"/>
    </row>
    <row r="317" spans="2:27">
      <c r="B317" s="40"/>
      <c r="N317" s="2"/>
      <c r="O317" s="2"/>
      <c r="T317" s="2"/>
      <c r="U317" s="2"/>
      <c r="Z317" s="3"/>
      <c r="AA317" s="3"/>
    </row>
    <row r="318" spans="2:27">
      <c r="B318" s="40"/>
      <c r="N318" s="2"/>
      <c r="O318" s="2"/>
      <c r="T318" s="2"/>
      <c r="U318" s="2"/>
      <c r="Z318" s="3"/>
      <c r="AA318" s="3"/>
    </row>
    <row r="319" spans="2:27">
      <c r="B319" s="40"/>
      <c r="N319" s="2"/>
      <c r="O319" s="2"/>
      <c r="T319" s="2"/>
      <c r="U319" s="2"/>
      <c r="Z319" s="3"/>
      <c r="AA319" s="3"/>
    </row>
    <row r="320" spans="2:27">
      <c r="B320" s="40"/>
      <c r="N320" s="2"/>
      <c r="O320" s="2"/>
      <c r="T320" s="2"/>
      <c r="U320" s="2"/>
      <c r="Z320" s="3"/>
      <c r="AA320" s="3"/>
    </row>
    <row r="321" spans="2:27">
      <c r="B321" s="40"/>
      <c r="N321" s="2"/>
      <c r="O321" s="2"/>
      <c r="T321" s="2"/>
      <c r="U321" s="2"/>
      <c r="Z321" s="3"/>
      <c r="AA321" s="3"/>
    </row>
    <row r="322" spans="2:27">
      <c r="B322" s="40"/>
      <c r="N322" s="2"/>
      <c r="O322" s="2"/>
      <c r="T322" s="2"/>
      <c r="U322" s="2"/>
      <c r="Z322" s="3"/>
      <c r="AA322" s="3"/>
    </row>
    <row r="323" spans="2:27">
      <c r="B323" s="40"/>
      <c r="N323" s="2"/>
      <c r="O323" s="2"/>
      <c r="T323" s="2"/>
      <c r="U323" s="2"/>
      <c r="Z323" s="3"/>
      <c r="AA323" s="3"/>
    </row>
    <row r="324" spans="2:27">
      <c r="B324" s="40"/>
      <c r="N324" s="2"/>
      <c r="O324" s="2"/>
      <c r="T324" s="2"/>
      <c r="U324" s="2"/>
      <c r="Z324" s="3"/>
      <c r="AA324" s="3"/>
    </row>
    <row r="325" spans="2:27">
      <c r="B325" s="40"/>
      <c r="N325" s="2"/>
      <c r="O325" s="2"/>
      <c r="T325" s="2"/>
      <c r="U325" s="2"/>
      <c r="Z325" s="3"/>
      <c r="AA325" s="3"/>
    </row>
    <row r="326" spans="2:27">
      <c r="B326" s="40"/>
      <c r="N326" s="2"/>
      <c r="O326" s="2"/>
      <c r="T326" s="2"/>
      <c r="U326" s="2"/>
      <c r="Z326" s="3"/>
      <c r="AA326" s="3"/>
    </row>
    <row r="327" spans="2:27">
      <c r="B327" s="40"/>
      <c r="N327" s="2"/>
      <c r="O327" s="2"/>
      <c r="T327" s="2"/>
      <c r="U327" s="2"/>
      <c r="Z327" s="3"/>
      <c r="AA327" s="3"/>
    </row>
    <row r="328" spans="2:27">
      <c r="B328" s="40"/>
      <c r="N328" s="2"/>
      <c r="O328" s="2"/>
      <c r="T328" s="2"/>
      <c r="U328" s="2"/>
      <c r="Z328" s="3"/>
      <c r="AA328" s="3"/>
    </row>
    <row r="329" spans="2:27">
      <c r="B329" s="40"/>
      <c r="N329" s="2"/>
      <c r="O329" s="2"/>
      <c r="T329" s="2"/>
      <c r="U329" s="2"/>
      <c r="Z329" s="3"/>
      <c r="AA329" s="3"/>
    </row>
    <row r="330" spans="2:27">
      <c r="B330" s="40"/>
      <c r="N330" s="2"/>
      <c r="O330" s="2"/>
      <c r="T330" s="2"/>
      <c r="U330" s="2"/>
      <c r="Z330" s="3"/>
      <c r="AA330" s="3"/>
    </row>
    <row r="331" spans="2:27">
      <c r="B331" s="40"/>
      <c r="N331" s="2"/>
      <c r="O331" s="2"/>
      <c r="T331" s="2"/>
      <c r="U331" s="2"/>
      <c r="Z331" s="3"/>
      <c r="AA331" s="3"/>
    </row>
    <row r="332" spans="2:27">
      <c r="B332" s="40"/>
      <c r="N332" s="2"/>
      <c r="O332" s="2"/>
      <c r="T332" s="2"/>
      <c r="U332" s="2"/>
      <c r="Z332" s="3"/>
      <c r="AA332" s="3"/>
    </row>
    <row r="333" spans="2:27">
      <c r="B333" s="40"/>
      <c r="N333" s="2"/>
      <c r="O333" s="2"/>
      <c r="T333" s="2"/>
      <c r="U333" s="2"/>
      <c r="Z333" s="3"/>
      <c r="AA333" s="3"/>
    </row>
    <row r="334" spans="2:27">
      <c r="B334" s="40"/>
      <c r="N334" s="2"/>
      <c r="O334" s="2"/>
      <c r="T334" s="2"/>
      <c r="U334" s="2"/>
      <c r="Z334" s="3"/>
      <c r="AA334" s="3"/>
    </row>
    <row r="335" spans="2:27">
      <c r="B335" s="40"/>
      <c r="N335" s="2"/>
      <c r="O335" s="2"/>
      <c r="T335" s="2"/>
      <c r="U335" s="2"/>
      <c r="Z335" s="3"/>
      <c r="AA335" s="3"/>
    </row>
    <row r="336" spans="2:27">
      <c r="B336" s="40"/>
      <c r="N336" s="2"/>
      <c r="O336" s="2"/>
      <c r="T336" s="2"/>
      <c r="U336" s="2"/>
      <c r="Z336" s="3"/>
      <c r="AA336" s="3"/>
    </row>
    <row r="337" spans="2:27">
      <c r="B337" s="40"/>
      <c r="N337" s="2"/>
      <c r="O337" s="2"/>
      <c r="T337" s="2"/>
      <c r="U337" s="2"/>
      <c r="Z337" s="3"/>
      <c r="AA337" s="3"/>
    </row>
    <row r="338" spans="2:27">
      <c r="B338" s="40"/>
      <c r="N338" s="2"/>
      <c r="O338" s="2"/>
      <c r="T338" s="2"/>
      <c r="U338" s="2"/>
      <c r="Z338" s="3"/>
      <c r="AA338" s="3"/>
    </row>
    <row r="339" spans="2:27">
      <c r="B339" s="40"/>
      <c r="N339" s="2"/>
      <c r="O339" s="2"/>
      <c r="T339" s="2"/>
      <c r="U339" s="2"/>
      <c r="Z339" s="3"/>
      <c r="AA339" s="3"/>
    </row>
    <row r="340" spans="2:27">
      <c r="B340" s="40"/>
      <c r="N340" s="2"/>
      <c r="O340" s="2"/>
      <c r="T340" s="2"/>
      <c r="U340" s="2"/>
      <c r="Z340" s="3"/>
      <c r="AA340" s="3"/>
    </row>
    <row r="341" spans="2:27">
      <c r="B341" s="40"/>
      <c r="N341" s="2"/>
      <c r="O341" s="2"/>
      <c r="T341" s="2"/>
      <c r="U341" s="2"/>
      <c r="Z341" s="3"/>
      <c r="AA341" s="3"/>
    </row>
    <row r="342" spans="2:27">
      <c r="B342" s="40"/>
      <c r="N342" s="2"/>
      <c r="O342" s="2"/>
      <c r="T342" s="2"/>
      <c r="U342" s="2"/>
      <c r="Z342" s="3"/>
      <c r="AA342" s="3"/>
    </row>
    <row r="343" spans="2:27">
      <c r="B343" s="40"/>
      <c r="N343" s="2"/>
      <c r="O343" s="2"/>
      <c r="T343" s="2"/>
      <c r="U343" s="2"/>
      <c r="Z343" s="3"/>
      <c r="AA343" s="3"/>
    </row>
    <row r="344" spans="2:27">
      <c r="B344" s="40"/>
      <c r="N344" s="2"/>
      <c r="O344" s="2"/>
      <c r="T344" s="2"/>
      <c r="U344" s="2"/>
      <c r="Z344" s="3"/>
      <c r="AA344" s="3"/>
    </row>
    <row r="345" spans="2:27">
      <c r="B345" s="40"/>
      <c r="N345" s="2"/>
      <c r="O345" s="2"/>
      <c r="T345" s="2"/>
      <c r="U345" s="2"/>
      <c r="Z345" s="3"/>
      <c r="AA345" s="3"/>
    </row>
    <row r="346" spans="2:27">
      <c r="B346" s="40"/>
      <c r="N346" s="2"/>
      <c r="O346" s="2"/>
      <c r="T346" s="2"/>
      <c r="U346" s="2"/>
      <c r="Z346" s="3"/>
      <c r="AA346" s="3"/>
    </row>
    <row r="347" spans="2:27">
      <c r="B347" s="40"/>
      <c r="N347" s="2"/>
      <c r="O347" s="2"/>
      <c r="T347" s="2"/>
      <c r="U347" s="2"/>
      <c r="Z347" s="3"/>
      <c r="AA347" s="3"/>
    </row>
    <row r="348" spans="2:27">
      <c r="B348" s="40"/>
      <c r="N348" s="2"/>
      <c r="O348" s="2"/>
      <c r="T348" s="2"/>
      <c r="U348" s="2"/>
      <c r="Z348" s="3"/>
      <c r="AA348" s="3"/>
    </row>
    <row r="349" spans="2:27">
      <c r="B349" s="40"/>
      <c r="N349" s="2"/>
      <c r="O349" s="2"/>
      <c r="T349" s="2"/>
      <c r="U349" s="2"/>
      <c r="Z349" s="3"/>
      <c r="AA349" s="3"/>
    </row>
    <row r="350" spans="2:27">
      <c r="B350" s="40"/>
      <c r="N350" s="2"/>
      <c r="O350" s="2"/>
      <c r="T350" s="2"/>
      <c r="U350" s="2"/>
      <c r="Z350" s="3"/>
      <c r="AA350" s="3"/>
    </row>
    <row r="351" spans="2:27">
      <c r="B351" s="40"/>
      <c r="N351" s="2"/>
      <c r="O351" s="2"/>
      <c r="T351" s="2"/>
      <c r="U351" s="2"/>
      <c r="Z351" s="3"/>
      <c r="AA351" s="3"/>
    </row>
    <row r="352" spans="2:27">
      <c r="B352" s="40"/>
      <c r="N352" s="2"/>
      <c r="O352" s="2"/>
      <c r="T352" s="2"/>
      <c r="U352" s="2"/>
      <c r="Z352" s="3"/>
      <c r="AA352" s="3"/>
    </row>
    <row r="353" spans="2:27">
      <c r="B353" s="40"/>
      <c r="N353" s="2"/>
      <c r="O353" s="2"/>
      <c r="T353" s="2"/>
      <c r="U353" s="2"/>
      <c r="Z353" s="3"/>
      <c r="AA353" s="3"/>
    </row>
    <row r="354" spans="2:27">
      <c r="B354" s="40"/>
      <c r="N354" s="2"/>
      <c r="O354" s="2"/>
      <c r="T354" s="2"/>
      <c r="U354" s="2"/>
      <c r="Z354" s="3"/>
      <c r="AA354" s="3"/>
    </row>
    <row r="355" spans="2:27">
      <c r="B355" s="40"/>
      <c r="N355" s="2"/>
      <c r="O355" s="2"/>
      <c r="T355" s="2"/>
      <c r="U355" s="2"/>
      <c r="Z355" s="3"/>
      <c r="AA355" s="3"/>
    </row>
    <row r="356" spans="2:27">
      <c r="B356" s="40"/>
      <c r="N356" s="2"/>
      <c r="O356" s="2"/>
      <c r="T356" s="2"/>
      <c r="U356" s="2"/>
      <c r="Z356" s="3"/>
      <c r="AA356" s="3"/>
    </row>
    <row r="357" spans="2:27">
      <c r="B357" s="40"/>
      <c r="N357" s="2"/>
      <c r="O357" s="2"/>
      <c r="T357" s="2"/>
      <c r="U357" s="2"/>
      <c r="Z357" s="3"/>
      <c r="AA357" s="3"/>
    </row>
    <row r="358" spans="2:27">
      <c r="B358" s="40"/>
      <c r="N358" s="2"/>
      <c r="O358" s="2"/>
      <c r="T358" s="2"/>
      <c r="U358" s="2"/>
      <c r="Z358" s="3"/>
      <c r="AA358" s="3"/>
    </row>
    <row r="359" spans="2:27">
      <c r="B359" s="40"/>
      <c r="N359" s="2"/>
      <c r="O359" s="2"/>
      <c r="T359" s="2"/>
      <c r="U359" s="2"/>
      <c r="Z359" s="3"/>
      <c r="AA359" s="3"/>
    </row>
    <row r="360" spans="2:27">
      <c r="B360" s="40"/>
      <c r="N360" s="2"/>
      <c r="O360" s="2"/>
      <c r="T360" s="2"/>
      <c r="U360" s="2"/>
      <c r="Z360" s="3"/>
      <c r="AA360" s="3"/>
    </row>
    <row r="361" spans="2:27">
      <c r="B361" s="40"/>
      <c r="N361" s="2"/>
      <c r="O361" s="2"/>
      <c r="T361" s="2"/>
      <c r="U361" s="2"/>
      <c r="Z361" s="3"/>
      <c r="AA361" s="3"/>
    </row>
    <row r="362" spans="2:27">
      <c r="B362" s="40"/>
      <c r="N362" s="2"/>
      <c r="O362" s="2"/>
      <c r="T362" s="2"/>
      <c r="U362" s="2"/>
      <c r="Z362" s="3"/>
      <c r="AA362" s="3"/>
    </row>
    <row r="363" spans="2:27">
      <c r="B363" s="40"/>
      <c r="N363" s="2"/>
      <c r="O363" s="2"/>
      <c r="T363" s="2"/>
      <c r="U363" s="2"/>
      <c r="Z363" s="3"/>
      <c r="AA363" s="3"/>
    </row>
    <row r="364" spans="2:27">
      <c r="B364" s="40"/>
      <c r="N364" s="2"/>
      <c r="O364" s="2"/>
      <c r="T364" s="2"/>
      <c r="U364" s="2"/>
      <c r="Z364" s="3"/>
      <c r="AA364" s="3"/>
    </row>
    <row r="365" spans="2:27">
      <c r="B365" s="40"/>
      <c r="N365" s="2"/>
      <c r="O365" s="2"/>
      <c r="T365" s="2"/>
      <c r="U365" s="2"/>
      <c r="Z365" s="3"/>
      <c r="AA365" s="3"/>
    </row>
    <row r="366" spans="2:27">
      <c r="B366" s="40"/>
      <c r="N366" s="2"/>
      <c r="O366" s="2"/>
      <c r="T366" s="2"/>
      <c r="U366" s="2"/>
      <c r="Z366" s="3"/>
      <c r="AA366" s="3"/>
    </row>
    <row r="367" spans="2:27">
      <c r="B367" s="40"/>
      <c r="N367" s="2"/>
      <c r="O367" s="2"/>
      <c r="T367" s="2"/>
      <c r="U367" s="2"/>
      <c r="Z367" s="3"/>
      <c r="AA367" s="3"/>
    </row>
    <row r="368" spans="2:27">
      <c r="B368" s="40"/>
      <c r="N368" s="2"/>
      <c r="O368" s="2"/>
      <c r="T368" s="2"/>
      <c r="U368" s="2"/>
      <c r="Z368" s="3"/>
      <c r="AA368" s="3"/>
    </row>
    <row r="369" spans="2:27">
      <c r="B369" s="40"/>
      <c r="N369" s="2"/>
      <c r="O369" s="2"/>
      <c r="T369" s="2"/>
      <c r="U369" s="2"/>
      <c r="Z369" s="3"/>
      <c r="AA369" s="3"/>
    </row>
    <row r="370" spans="2:27">
      <c r="B370" s="40"/>
      <c r="N370" s="2"/>
      <c r="O370" s="2"/>
      <c r="T370" s="2"/>
      <c r="U370" s="2"/>
      <c r="Z370" s="3"/>
      <c r="AA370" s="3"/>
    </row>
    <row r="371" spans="2:27">
      <c r="B371" s="40"/>
      <c r="N371" s="2"/>
      <c r="O371" s="2"/>
      <c r="T371" s="2"/>
      <c r="U371" s="2"/>
      <c r="Z371" s="3"/>
      <c r="AA371" s="3"/>
    </row>
    <row r="372" spans="2:27">
      <c r="B372" s="40"/>
      <c r="N372" s="2"/>
      <c r="O372" s="2"/>
      <c r="T372" s="2"/>
      <c r="U372" s="2"/>
      <c r="Z372" s="3"/>
      <c r="AA372" s="3"/>
    </row>
    <row r="373" spans="2:27">
      <c r="B373" s="40"/>
      <c r="N373" s="2"/>
      <c r="O373" s="2"/>
      <c r="T373" s="2"/>
      <c r="U373" s="2"/>
      <c r="Z373" s="3"/>
      <c r="AA373" s="3"/>
    </row>
    <row r="374" spans="2:27">
      <c r="B374" s="40"/>
      <c r="N374" s="2"/>
      <c r="O374" s="2"/>
      <c r="T374" s="2"/>
      <c r="U374" s="2"/>
      <c r="Z374" s="3"/>
      <c r="AA374" s="3"/>
    </row>
    <row r="375" spans="2:27">
      <c r="B375" s="40"/>
      <c r="N375" s="2"/>
      <c r="O375" s="2"/>
      <c r="T375" s="2"/>
      <c r="U375" s="2"/>
      <c r="Z375" s="3"/>
      <c r="AA375" s="3"/>
    </row>
    <row r="376" spans="2:27">
      <c r="B376" s="40"/>
      <c r="N376" s="2"/>
      <c r="O376" s="2"/>
      <c r="T376" s="2"/>
      <c r="U376" s="2"/>
      <c r="Z376" s="3"/>
      <c r="AA376" s="3"/>
    </row>
    <row r="377" spans="2:27">
      <c r="B377" s="40"/>
      <c r="N377" s="2"/>
      <c r="O377" s="2"/>
      <c r="T377" s="2"/>
      <c r="U377" s="2"/>
      <c r="Z377" s="3"/>
      <c r="AA377" s="3"/>
    </row>
    <row r="378" spans="2:27">
      <c r="B378" s="40"/>
      <c r="N378" s="2"/>
      <c r="O378" s="2"/>
      <c r="T378" s="2"/>
      <c r="U378" s="2"/>
      <c r="Z378" s="3"/>
      <c r="AA378" s="3"/>
    </row>
    <row r="379" spans="2:27">
      <c r="B379" s="40"/>
      <c r="N379" s="2"/>
      <c r="O379" s="2"/>
      <c r="T379" s="2"/>
      <c r="U379" s="2"/>
      <c r="Z379" s="3"/>
      <c r="AA379" s="3"/>
    </row>
    <row r="380" spans="2:27">
      <c r="B380" s="40"/>
      <c r="N380" s="2"/>
      <c r="O380" s="2"/>
      <c r="T380" s="2"/>
      <c r="U380" s="2"/>
      <c r="Z380" s="3"/>
      <c r="AA380" s="3"/>
    </row>
    <row r="381" spans="2:27">
      <c r="B381" s="40"/>
      <c r="N381" s="2"/>
      <c r="O381" s="2"/>
      <c r="T381" s="2"/>
      <c r="U381" s="2"/>
      <c r="Z381" s="3"/>
      <c r="AA381" s="3"/>
    </row>
    <row r="382" spans="2:27">
      <c r="B382" s="40"/>
      <c r="N382" s="2"/>
      <c r="O382" s="2"/>
      <c r="T382" s="2"/>
      <c r="U382" s="2"/>
      <c r="Z382" s="3"/>
      <c r="AA382" s="3"/>
    </row>
    <row r="383" spans="2:27">
      <c r="B383" s="40"/>
      <c r="N383" s="2"/>
      <c r="O383" s="2"/>
      <c r="T383" s="2"/>
      <c r="U383" s="2"/>
      <c r="Z383" s="3"/>
      <c r="AA383" s="3"/>
    </row>
    <row r="384" spans="2:27">
      <c r="B384" s="40"/>
      <c r="N384" s="2"/>
      <c r="O384" s="2"/>
      <c r="T384" s="2"/>
      <c r="U384" s="2"/>
      <c r="Z384" s="3"/>
      <c r="AA384" s="3"/>
    </row>
    <row r="385" spans="2:27">
      <c r="B385" s="40"/>
      <c r="N385" s="2"/>
      <c r="O385" s="2"/>
      <c r="T385" s="2"/>
      <c r="U385" s="2"/>
      <c r="Z385" s="3"/>
      <c r="AA385" s="3"/>
    </row>
    <row r="386" spans="2:27">
      <c r="B386" s="40"/>
      <c r="N386" s="2"/>
      <c r="O386" s="2"/>
      <c r="T386" s="2"/>
      <c r="U386" s="2"/>
      <c r="Z386" s="3"/>
      <c r="AA386" s="3"/>
    </row>
    <row r="387" spans="2:27">
      <c r="B387" s="40"/>
      <c r="N387" s="2"/>
      <c r="O387" s="2"/>
      <c r="T387" s="2"/>
      <c r="U387" s="2"/>
      <c r="Z387" s="3"/>
      <c r="AA387" s="3"/>
    </row>
    <row r="388" spans="2:27">
      <c r="B388" s="40"/>
      <c r="N388" s="2"/>
      <c r="O388" s="2"/>
      <c r="T388" s="2"/>
      <c r="U388" s="2"/>
      <c r="Z388" s="3"/>
      <c r="AA388" s="3"/>
    </row>
    <row r="389" spans="2:27">
      <c r="B389" s="40"/>
      <c r="N389" s="2"/>
      <c r="O389" s="2"/>
      <c r="T389" s="2"/>
      <c r="U389" s="2"/>
      <c r="Z389" s="3"/>
      <c r="AA389" s="3"/>
    </row>
    <row r="390" spans="2:27">
      <c r="B390" s="40"/>
      <c r="N390" s="2"/>
      <c r="O390" s="2"/>
      <c r="T390" s="2"/>
      <c r="U390" s="2"/>
      <c r="Z390" s="3"/>
      <c r="AA390" s="3"/>
    </row>
    <row r="391" spans="2:27">
      <c r="B391" s="40"/>
      <c r="N391" s="2"/>
      <c r="O391" s="2"/>
      <c r="T391" s="2"/>
      <c r="U391" s="2"/>
      <c r="Z391" s="3"/>
      <c r="AA391" s="3"/>
    </row>
    <row r="392" spans="2:27">
      <c r="B392" s="40"/>
      <c r="N392" s="2"/>
      <c r="O392" s="2"/>
      <c r="T392" s="2"/>
      <c r="U392" s="2"/>
      <c r="Z392" s="3"/>
      <c r="AA392" s="3"/>
    </row>
    <row r="393" spans="2:27">
      <c r="B393" s="40"/>
      <c r="N393" s="2"/>
      <c r="O393" s="2"/>
      <c r="T393" s="2"/>
      <c r="U393" s="2"/>
      <c r="Z393" s="3"/>
      <c r="AA393" s="3"/>
    </row>
    <row r="394" spans="2:27">
      <c r="B394" s="40"/>
      <c r="N394" s="2"/>
      <c r="O394" s="2"/>
      <c r="T394" s="2"/>
      <c r="U394" s="2"/>
      <c r="Z394" s="3"/>
      <c r="AA394" s="3"/>
    </row>
    <row r="395" spans="2:27">
      <c r="B395" s="40"/>
      <c r="N395" s="2"/>
      <c r="O395" s="2"/>
      <c r="T395" s="2"/>
      <c r="U395" s="2"/>
      <c r="Z395" s="3"/>
      <c r="AA395" s="3"/>
    </row>
    <row r="396" spans="2:27">
      <c r="B396" s="40"/>
      <c r="N396" s="2"/>
      <c r="O396" s="2"/>
      <c r="T396" s="2"/>
      <c r="U396" s="2"/>
      <c r="Z396" s="3"/>
      <c r="AA396" s="3"/>
    </row>
    <row r="397" spans="2:27">
      <c r="B397" s="40"/>
      <c r="N397" s="2"/>
      <c r="O397" s="2"/>
      <c r="T397" s="2"/>
      <c r="U397" s="2"/>
      <c r="Z397" s="3"/>
      <c r="AA397" s="3"/>
    </row>
    <row r="398" spans="2:27">
      <c r="B398" s="40"/>
      <c r="N398" s="2"/>
      <c r="O398" s="2"/>
      <c r="T398" s="2"/>
      <c r="U398" s="2"/>
      <c r="Z398" s="3"/>
      <c r="AA398" s="3"/>
    </row>
    <row r="399" spans="2:27">
      <c r="B399" s="40"/>
      <c r="N399" s="2"/>
      <c r="O399" s="2"/>
      <c r="T399" s="2"/>
      <c r="U399" s="2"/>
      <c r="Z399" s="3"/>
      <c r="AA399" s="3"/>
    </row>
    <row r="400" spans="2:27">
      <c r="B400" s="40"/>
      <c r="N400" s="2"/>
      <c r="O400" s="2"/>
      <c r="T400" s="2"/>
      <c r="U400" s="2"/>
      <c r="Z400" s="3"/>
      <c r="AA400" s="3"/>
    </row>
    <row r="401" spans="2:27">
      <c r="B401" s="40"/>
      <c r="N401" s="2"/>
      <c r="O401" s="2"/>
      <c r="T401" s="2"/>
      <c r="U401" s="2"/>
      <c r="Z401" s="3"/>
      <c r="AA401" s="3"/>
    </row>
    <row r="402" spans="2:27">
      <c r="B402" s="40"/>
      <c r="N402" s="2"/>
      <c r="O402" s="2"/>
      <c r="T402" s="2"/>
      <c r="U402" s="2"/>
      <c r="Z402" s="3"/>
      <c r="AA402" s="3"/>
    </row>
    <row r="403" spans="2:27">
      <c r="B403" s="40"/>
      <c r="N403" s="2"/>
      <c r="O403" s="2"/>
      <c r="T403" s="2"/>
      <c r="U403" s="2"/>
      <c r="Z403" s="3"/>
      <c r="AA403" s="3"/>
    </row>
    <row r="404" spans="2:27">
      <c r="B404" s="40"/>
      <c r="N404" s="2"/>
      <c r="O404" s="2"/>
      <c r="T404" s="2"/>
      <c r="U404" s="2"/>
      <c r="Z404" s="3"/>
      <c r="AA404" s="3"/>
    </row>
    <row r="405" spans="2:27">
      <c r="B405" s="40"/>
      <c r="N405" s="2"/>
      <c r="O405" s="2"/>
      <c r="T405" s="2"/>
      <c r="U405" s="2"/>
      <c r="Z405" s="3"/>
      <c r="AA405" s="3"/>
    </row>
    <row r="406" spans="2:27">
      <c r="B406" s="40"/>
      <c r="N406" s="2"/>
      <c r="O406" s="2"/>
      <c r="T406" s="2"/>
      <c r="U406" s="2"/>
      <c r="Z406" s="3"/>
      <c r="AA406" s="3"/>
    </row>
    <row r="407" spans="2:27">
      <c r="B407" s="40"/>
      <c r="N407" s="2"/>
      <c r="O407" s="2"/>
      <c r="T407" s="2"/>
      <c r="U407" s="2"/>
      <c r="Z407" s="3"/>
      <c r="AA407" s="3"/>
    </row>
    <row r="408" spans="2:27">
      <c r="B408" s="40"/>
      <c r="N408" s="2"/>
      <c r="O408" s="2"/>
      <c r="T408" s="2"/>
      <c r="U408" s="2"/>
      <c r="Z408" s="3"/>
      <c r="AA408" s="3"/>
    </row>
    <row r="409" spans="2:27">
      <c r="B409" s="40"/>
      <c r="N409" s="2"/>
      <c r="O409" s="2"/>
      <c r="T409" s="2"/>
      <c r="U409" s="2"/>
      <c r="Z409" s="3"/>
      <c r="AA409" s="3"/>
    </row>
    <row r="410" spans="2:27">
      <c r="B410" s="40"/>
      <c r="N410" s="2"/>
      <c r="O410" s="2"/>
      <c r="T410" s="2"/>
      <c r="U410" s="2"/>
      <c r="Z410" s="3"/>
      <c r="AA410" s="3"/>
    </row>
    <row r="411" spans="2:27">
      <c r="B411" s="40"/>
      <c r="N411" s="2"/>
      <c r="O411" s="2"/>
      <c r="T411" s="2"/>
      <c r="U411" s="2"/>
      <c r="Z411" s="3"/>
      <c r="AA411" s="3"/>
    </row>
    <row r="412" spans="2:27">
      <c r="B412" s="40"/>
      <c r="N412" s="2"/>
      <c r="O412" s="2"/>
      <c r="T412" s="2"/>
      <c r="U412" s="2"/>
      <c r="Z412" s="3"/>
      <c r="AA412" s="3"/>
    </row>
    <row r="413" spans="2:27">
      <c r="B413" s="40"/>
      <c r="N413" s="2"/>
      <c r="O413" s="2"/>
      <c r="T413" s="2"/>
      <c r="U413" s="2"/>
      <c r="Z413" s="3"/>
      <c r="AA413" s="3"/>
    </row>
    <row r="414" spans="2:27">
      <c r="B414" s="40"/>
      <c r="N414" s="2"/>
      <c r="O414" s="2"/>
      <c r="T414" s="2"/>
      <c r="U414" s="2"/>
      <c r="Z414" s="3"/>
      <c r="AA414" s="3"/>
    </row>
    <row r="415" spans="2:27">
      <c r="B415" s="40"/>
      <c r="N415" s="2"/>
      <c r="O415" s="2"/>
      <c r="T415" s="2"/>
      <c r="U415" s="2"/>
      <c r="Z415" s="3"/>
      <c r="AA415" s="3"/>
    </row>
    <row r="416" spans="2:27">
      <c r="B416" s="40"/>
      <c r="N416" s="2"/>
      <c r="O416" s="2"/>
      <c r="T416" s="2"/>
      <c r="U416" s="2"/>
      <c r="Z416" s="3"/>
      <c r="AA416" s="3"/>
    </row>
    <row r="417" spans="2:27">
      <c r="B417" s="40"/>
      <c r="N417" s="2"/>
      <c r="O417" s="2"/>
      <c r="T417" s="2"/>
      <c r="U417" s="2"/>
      <c r="Z417" s="3"/>
      <c r="AA417" s="3"/>
    </row>
    <row r="418" spans="2:27">
      <c r="B418" s="40"/>
      <c r="N418" s="2"/>
      <c r="O418" s="2"/>
      <c r="T418" s="2"/>
      <c r="U418" s="2"/>
      <c r="Z418" s="3"/>
      <c r="AA418" s="3"/>
    </row>
    <row r="419" spans="2:27">
      <c r="B419" s="40"/>
      <c r="N419" s="2"/>
      <c r="O419" s="2"/>
      <c r="T419" s="2"/>
      <c r="U419" s="2"/>
      <c r="Z419" s="3"/>
      <c r="AA419" s="3"/>
    </row>
    <row r="420" spans="2:27">
      <c r="B420" s="40"/>
      <c r="N420" s="2"/>
      <c r="O420" s="2"/>
      <c r="T420" s="2"/>
      <c r="U420" s="2"/>
      <c r="Z420" s="3"/>
      <c r="AA420" s="3"/>
    </row>
    <row r="421" spans="2:27">
      <c r="B421" s="40"/>
      <c r="N421" s="2"/>
      <c r="O421" s="2"/>
      <c r="T421" s="2"/>
      <c r="U421" s="2"/>
      <c r="Z421" s="3"/>
      <c r="AA421" s="3"/>
    </row>
    <row r="422" spans="2:27">
      <c r="B422" s="40"/>
      <c r="N422" s="2"/>
      <c r="O422" s="2"/>
      <c r="T422" s="2"/>
      <c r="U422" s="2"/>
      <c r="Z422" s="3"/>
      <c r="AA422" s="3"/>
    </row>
    <row r="423" spans="2:27">
      <c r="B423" s="40"/>
      <c r="N423" s="2"/>
      <c r="O423" s="2"/>
      <c r="T423" s="2"/>
      <c r="U423" s="2"/>
      <c r="Z423" s="3"/>
      <c r="AA423" s="3"/>
    </row>
    <row r="424" spans="2:27">
      <c r="B424" s="40"/>
      <c r="N424" s="2"/>
      <c r="O424" s="2"/>
      <c r="T424" s="2"/>
      <c r="U424" s="2"/>
      <c r="Z424" s="3"/>
      <c r="AA424" s="3"/>
    </row>
    <row r="425" spans="2:27">
      <c r="B425" s="40"/>
      <c r="N425" s="2"/>
      <c r="O425" s="2"/>
      <c r="T425" s="2"/>
      <c r="U425" s="2"/>
      <c r="Z425" s="3"/>
      <c r="AA425" s="3"/>
    </row>
    <row r="426" spans="2:27">
      <c r="B426" s="40"/>
      <c r="N426" s="2"/>
      <c r="O426" s="2"/>
      <c r="T426" s="2"/>
      <c r="U426" s="2"/>
      <c r="Z426" s="3"/>
      <c r="AA426" s="3"/>
    </row>
    <row r="427" spans="2:27">
      <c r="B427" s="40"/>
      <c r="N427" s="2"/>
      <c r="O427" s="2"/>
      <c r="T427" s="2"/>
      <c r="U427" s="2"/>
      <c r="Z427" s="3"/>
      <c r="AA427" s="3"/>
    </row>
    <row r="428" spans="2:27">
      <c r="B428" s="40"/>
      <c r="N428" s="2"/>
      <c r="O428" s="2"/>
      <c r="T428" s="2"/>
      <c r="U428" s="2"/>
      <c r="Z428" s="3"/>
      <c r="AA428" s="3"/>
    </row>
    <row r="429" spans="2:27">
      <c r="B429" s="40"/>
      <c r="N429" s="2"/>
      <c r="O429" s="2"/>
      <c r="T429" s="2"/>
      <c r="U429" s="2"/>
      <c r="Z429" s="3"/>
      <c r="AA429" s="3"/>
    </row>
    <row r="430" spans="2:27">
      <c r="B430" s="40"/>
      <c r="N430" s="2"/>
      <c r="O430" s="2"/>
      <c r="T430" s="2"/>
      <c r="U430" s="2"/>
      <c r="Z430" s="3"/>
      <c r="AA430" s="3"/>
    </row>
    <row r="431" spans="2:27">
      <c r="B431" s="40"/>
      <c r="N431" s="2"/>
      <c r="O431" s="2"/>
      <c r="T431" s="2"/>
      <c r="U431" s="2"/>
      <c r="Z431" s="3"/>
      <c r="AA431" s="3"/>
    </row>
    <row r="432" spans="2:27">
      <c r="B432" s="40"/>
      <c r="N432" s="2"/>
      <c r="O432" s="2"/>
      <c r="T432" s="2"/>
      <c r="U432" s="2"/>
      <c r="Z432" s="3"/>
      <c r="AA432" s="3"/>
    </row>
    <row r="433" spans="2:27">
      <c r="B433" s="40"/>
      <c r="N433" s="2"/>
      <c r="O433" s="2"/>
      <c r="T433" s="2"/>
      <c r="U433" s="2"/>
      <c r="Z433" s="3"/>
      <c r="AA433" s="3"/>
    </row>
    <row r="434" spans="2:27">
      <c r="B434" s="40"/>
      <c r="N434" s="2"/>
      <c r="O434" s="2"/>
      <c r="T434" s="2"/>
      <c r="U434" s="2"/>
      <c r="Z434" s="3"/>
      <c r="AA434" s="3"/>
    </row>
    <row r="435" spans="2:27">
      <c r="B435" s="40"/>
      <c r="N435" s="2"/>
      <c r="O435" s="2"/>
      <c r="T435" s="2"/>
      <c r="U435" s="2"/>
      <c r="Z435" s="3"/>
      <c r="AA435" s="3"/>
    </row>
    <row r="436" spans="2:27">
      <c r="B436" s="40"/>
      <c r="N436" s="2"/>
      <c r="O436" s="2"/>
      <c r="T436" s="2"/>
      <c r="U436" s="2"/>
      <c r="Z436" s="3"/>
      <c r="AA436" s="3"/>
    </row>
    <row r="437" spans="2:27">
      <c r="B437" s="40"/>
      <c r="N437" s="2"/>
      <c r="O437" s="2"/>
      <c r="T437" s="2"/>
      <c r="U437" s="2"/>
      <c r="Z437" s="3"/>
      <c r="AA437" s="3"/>
    </row>
    <row r="438" spans="2:27">
      <c r="B438" s="40"/>
      <c r="N438" s="2"/>
      <c r="O438" s="2"/>
      <c r="T438" s="2"/>
      <c r="U438" s="2"/>
      <c r="Z438" s="3"/>
      <c r="AA438" s="3"/>
    </row>
    <row r="439" spans="2:27">
      <c r="B439" s="40"/>
      <c r="N439" s="2"/>
      <c r="O439" s="2"/>
      <c r="T439" s="2"/>
      <c r="U439" s="2"/>
      <c r="Z439" s="3"/>
      <c r="AA439" s="3"/>
    </row>
    <row r="440" spans="2:27">
      <c r="B440" s="40"/>
      <c r="N440" s="2"/>
      <c r="O440" s="2"/>
      <c r="T440" s="2"/>
      <c r="U440" s="2"/>
      <c r="Z440" s="3"/>
      <c r="AA440" s="3"/>
    </row>
    <row r="441" spans="2:27">
      <c r="B441" s="40"/>
      <c r="N441" s="2"/>
      <c r="O441" s="2"/>
      <c r="T441" s="2"/>
      <c r="U441" s="2"/>
      <c r="Z441" s="3"/>
      <c r="AA441" s="3"/>
    </row>
    <row r="442" spans="2:27">
      <c r="B442" s="40"/>
      <c r="N442" s="2"/>
      <c r="O442" s="2"/>
      <c r="T442" s="2"/>
      <c r="U442" s="2"/>
      <c r="Z442" s="3"/>
      <c r="AA442" s="3"/>
    </row>
    <row r="443" spans="2:27">
      <c r="B443" s="40"/>
      <c r="N443" s="2"/>
      <c r="O443" s="2"/>
      <c r="T443" s="2"/>
      <c r="U443" s="2"/>
      <c r="Z443" s="3"/>
      <c r="AA443" s="3"/>
    </row>
    <row r="444" spans="2:27">
      <c r="B444" s="40"/>
      <c r="N444" s="2"/>
      <c r="O444" s="2"/>
      <c r="T444" s="2"/>
      <c r="U444" s="2"/>
      <c r="Z444" s="3"/>
      <c r="AA444" s="3"/>
    </row>
    <row r="445" spans="2:27">
      <c r="B445" s="40"/>
      <c r="N445" s="2"/>
      <c r="O445" s="2"/>
      <c r="T445" s="2"/>
      <c r="U445" s="2"/>
      <c r="Z445" s="3"/>
      <c r="AA445" s="3"/>
    </row>
    <row r="446" spans="2:27">
      <c r="B446" s="40"/>
      <c r="N446" s="2"/>
      <c r="O446" s="2"/>
      <c r="T446" s="2"/>
      <c r="U446" s="2"/>
      <c r="Z446" s="3"/>
      <c r="AA446" s="3"/>
    </row>
    <row r="447" spans="2:27">
      <c r="B447" s="40"/>
      <c r="N447" s="2"/>
      <c r="O447" s="2"/>
      <c r="T447" s="2"/>
      <c r="U447" s="2"/>
      <c r="Z447" s="3"/>
      <c r="AA447" s="3"/>
    </row>
    <row r="448" spans="2:27">
      <c r="B448" s="40"/>
      <c r="N448" s="2"/>
      <c r="O448" s="2"/>
      <c r="T448" s="2"/>
      <c r="U448" s="2"/>
      <c r="Z448" s="3"/>
      <c r="AA448" s="3"/>
    </row>
    <row r="449" spans="2:27">
      <c r="B449" s="40"/>
      <c r="N449" s="2"/>
      <c r="O449" s="2"/>
      <c r="T449" s="2"/>
      <c r="U449" s="2"/>
      <c r="Z449" s="3"/>
      <c r="AA449" s="3"/>
    </row>
    <row r="450" spans="2:27">
      <c r="B450" s="40"/>
      <c r="N450" s="2"/>
      <c r="O450" s="2"/>
      <c r="T450" s="2"/>
      <c r="U450" s="2"/>
      <c r="Z450" s="3"/>
      <c r="AA450" s="3"/>
    </row>
    <row r="451" spans="2:27">
      <c r="B451" s="40"/>
      <c r="N451" s="2"/>
      <c r="O451" s="2"/>
      <c r="T451" s="2"/>
      <c r="U451" s="2"/>
      <c r="Z451" s="3"/>
      <c r="AA451" s="3"/>
    </row>
    <row r="452" spans="2:27">
      <c r="B452" s="40"/>
      <c r="N452" s="2"/>
      <c r="O452" s="2"/>
      <c r="T452" s="2"/>
      <c r="U452" s="2"/>
      <c r="Z452" s="3"/>
      <c r="AA452" s="3"/>
    </row>
    <row r="453" spans="2:27">
      <c r="B453" s="40"/>
      <c r="N453" s="2"/>
      <c r="O453" s="2"/>
      <c r="T453" s="2"/>
      <c r="U453" s="2"/>
      <c r="Z453" s="3"/>
      <c r="AA453" s="3"/>
    </row>
    <row r="454" spans="2:27">
      <c r="B454" s="40"/>
      <c r="N454" s="2"/>
      <c r="O454" s="2"/>
      <c r="T454" s="2"/>
      <c r="U454" s="2"/>
      <c r="Z454" s="3"/>
      <c r="AA454" s="3"/>
    </row>
    <row r="455" spans="2:27">
      <c r="B455" s="40"/>
      <c r="N455" s="2"/>
      <c r="O455" s="2"/>
      <c r="T455" s="2"/>
      <c r="U455" s="2"/>
      <c r="Z455" s="3"/>
      <c r="AA455" s="3"/>
    </row>
    <row r="456" spans="2:27">
      <c r="B456" s="40"/>
      <c r="N456" s="2"/>
      <c r="O456" s="2"/>
      <c r="T456" s="2"/>
      <c r="U456" s="2"/>
      <c r="Z456" s="3"/>
      <c r="AA456" s="3"/>
    </row>
    <row r="457" spans="2:27">
      <c r="B457" s="40"/>
      <c r="N457" s="2"/>
      <c r="O457" s="2"/>
      <c r="T457" s="2"/>
      <c r="U457" s="2"/>
      <c r="Z457" s="3"/>
      <c r="AA457" s="3"/>
    </row>
    <row r="458" spans="2:27">
      <c r="B458" s="40"/>
      <c r="N458" s="2"/>
      <c r="O458" s="2"/>
      <c r="T458" s="2"/>
      <c r="U458" s="2"/>
      <c r="Z458" s="3"/>
      <c r="AA458" s="3"/>
    </row>
    <row r="459" spans="2:27">
      <c r="B459" s="40"/>
      <c r="N459" s="2"/>
      <c r="O459" s="2"/>
      <c r="T459" s="2"/>
      <c r="U459" s="2"/>
      <c r="Z459" s="3"/>
      <c r="AA459" s="3"/>
    </row>
    <row r="460" spans="2:27">
      <c r="B460" s="40"/>
      <c r="N460" s="2"/>
      <c r="O460" s="2"/>
      <c r="T460" s="2"/>
      <c r="U460" s="2"/>
      <c r="Z460" s="3"/>
      <c r="AA460" s="3"/>
    </row>
    <row r="461" spans="2:27">
      <c r="B461" s="40"/>
      <c r="N461" s="2"/>
      <c r="O461" s="2"/>
      <c r="T461" s="2"/>
      <c r="U461" s="2"/>
      <c r="Z461" s="3"/>
      <c r="AA461" s="3"/>
    </row>
    <row r="462" spans="2:27">
      <c r="B462" s="40"/>
      <c r="N462" s="2"/>
      <c r="O462" s="2"/>
      <c r="T462" s="2"/>
      <c r="U462" s="2"/>
      <c r="Z462" s="3"/>
      <c r="AA462" s="3"/>
    </row>
    <row r="463" spans="2:27">
      <c r="B463" s="40"/>
      <c r="N463" s="2"/>
      <c r="O463" s="2"/>
      <c r="T463" s="2"/>
      <c r="U463" s="2"/>
      <c r="Z463" s="3"/>
      <c r="AA463" s="3"/>
    </row>
    <row r="464" spans="2:27">
      <c r="B464" s="40"/>
      <c r="N464" s="2"/>
      <c r="O464" s="2"/>
      <c r="T464" s="2"/>
      <c r="U464" s="2"/>
      <c r="Z464" s="3"/>
      <c r="AA464" s="3"/>
    </row>
    <row r="465" spans="2:27">
      <c r="B465" s="40"/>
      <c r="N465" s="2"/>
      <c r="O465" s="2"/>
      <c r="T465" s="2"/>
      <c r="U465" s="2"/>
      <c r="Z465" s="3"/>
      <c r="AA465" s="3"/>
    </row>
    <row r="466" spans="2:27">
      <c r="B466" s="40"/>
      <c r="N466" s="2"/>
      <c r="O466" s="2"/>
      <c r="T466" s="2"/>
      <c r="U466" s="2"/>
      <c r="Z466" s="3"/>
      <c r="AA466" s="3"/>
    </row>
    <row r="467" spans="2:27">
      <c r="B467" s="40"/>
      <c r="N467" s="2"/>
      <c r="O467" s="2"/>
      <c r="T467" s="2"/>
      <c r="U467" s="2"/>
      <c r="Z467" s="3"/>
      <c r="AA467" s="3"/>
    </row>
    <row r="468" spans="2:27">
      <c r="B468" s="40"/>
      <c r="N468" s="2"/>
      <c r="O468" s="2"/>
      <c r="T468" s="2"/>
      <c r="U468" s="2"/>
      <c r="Z468" s="3"/>
      <c r="AA468" s="3"/>
    </row>
    <row r="469" spans="2:27">
      <c r="B469" s="40"/>
      <c r="N469" s="2"/>
      <c r="O469" s="2"/>
      <c r="T469" s="2"/>
      <c r="U469" s="2"/>
      <c r="Z469" s="3"/>
      <c r="AA469" s="3"/>
    </row>
    <row r="470" spans="2:27">
      <c r="B470" s="40"/>
      <c r="N470" s="2"/>
      <c r="O470" s="2"/>
      <c r="T470" s="2"/>
      <c r="U470" s="2"/>
      <c r="Z470" s="3"/>
      <c r="AA470" s="3"/>
    </row>
    <row r="471" spans="2:27">
      <c r="B471" s="40"/>
      <c r="N471" s="2"/>
      <c r="O471" s="2"/>
      <c r="T471" s="2"/>
      <c r="U471" s="2"/>
      <c r="Z471" s="3"/>
      <c r="AA471" s="3"/>
    </row>
    <row r="472" spans="2:27">
      <c r="B472" s="40"/>
      <c r="N472" s="2"/>
      <c r="O472" s="2"/>
      <c r="T472" s="2"/>
      <c r="U472" s="2"/>
      <c r="Z472" s="3"/>
      <c r="AA472" s="3"/>
    </row>
    <row r="473" spans="2:27">
      <c r="B473" s="40"/>
      <c r="N473" s="2"/>
      <c r="O473" s="2"/>
      <c r="T473" s="2"/>
      <c r="U473" s="2"/>
      <c r="Z473" s="3"/>
      <c r="AA473" s="3"/>
    </row>
    <row r="474" spans="2:27">
      <c r="B474" s="40"/>
      <c r="N474" s="2"/>
      <c r="O474" s="2"/>
      <c r="T474" s="2"/>
      <c r="U474" s="2"/>
      <c r="Z474" s="3"/>
      <c r="AA474" s="3"/>
    </row>
    <row r="475" spans="2:27">
      <c r="B475" s="40"/>
      <c r="N475" s="2"/>
      <c r="O475" s="2"/>
      <c r="T475" s="2"/>
      <c r="U475" s="2"/>
      <c r="Z475" s="3"/>
      <c r="AA475" s="3"/>
    </row>
    <row r="476" spans="2:27">
      <c r="B476" s="40"/>
      <c r="N476" s="2"/>
      <c r="O476" s="2"/>
      <c r="T476" s="2"/>
      <c r="U476" s="2"/>
      <c r="Z476" s="3"/>
      <c r="AA476" s="3"/>
    </row>
    <row r="477" spans="2:27">
      <c r="B477" s="40"/>
      <c r="N477" s="2"/>
      <c r="O477" s="2"/>
      <c r="T477" s="2"/>
      <c r="U477" s="2"/>
      <c r="Z477" s="3"/>
      <c r="AA477" s="3"/>
    </row>
    <row r="478" spans="2:27">
      <c r="B478" s="40"/>
      <c r="N478" s="2"/>
      <c r="O478" s="2"/>
      <c r="T478" s="2"/>
      <c r="U478" s="2"/>
      <c r="Z478" s="3"/>
      <c r="AA478" s="3"/>
    </row>
    <row r="479" spans="2:27">
      <c r="B479" s="40"/>
      <c r="N479" s="2"/>
      <c r="O479" s="2"/>
      <c r="T479" s="2"/>
      <c r="U479" s="2"/>
      <c r="Z479" s="3"/>
      <c r="AA479" s="3"/>
    </row>
    <row r="480" spans="2:27">
      <c r="B480" s="40"/>
      <c r="N480" s="2"/>
      <c r="O480" s="2"/>
      <c r="T480" s="2"/>
      <c r="U480" s="2"/>
      <c r="Z480" s="3"/>
      <c r="AA480" s="3"/>
    </row>
    <row r="481" spans="2:27">
      <c r="B481" s="40"/>
      <c r="N481" s="2"/>
      <c r="O481" s="2"/>
      <c r="T481" s="2"/>
      <c r="U481" s="2"/>
      <c r="Z481" s="3"/>
      <c r="AA481" s="3"/>
    </row>
    <row r="482" spans="2:27">
      <c r="B482" s="40"/>
      <c r="N482" s="2"/>
      <c r="O482" s="2"/>
      <c r="T482" s="2"/>
      <c r="U482" s="2"/>
      <c r="Z482" s="3"/>
      <c r="AA482" s="3"/>
    </row>
    <row r="483" spans="2:27">
      <c r="B483" s="40"/>
      <c r="N483" s="2"/>
      <c r="O483" s="2"/>
      <c r="T483" s="2"/>
      <c r="U483" s="2"/>
      <c r="Z483" s="3"/>
      <c r="AA483" s="3"/>
    </row>
    <row r="484" spans="2:27">
      <c r="B484" s="40"/>
      <c r="N484" s="2"/>
      <c r="O484" s="2"/>
      <c r="T484" s="2"/>
      <c r="U484" s="2"/>
      <c r="Z484" s="3"/>
      <c r="AA484" s="3"/>
    </row>
    <row r="485" spans="2:27">
      <c r="B485" s="40"/>
      <c r="N485" s="2"/>
      <c r="O485" s="2"/>
      <c r="T485" s="2"/>
      <c r="U485" s="2"/>
      <c r="Z485" s="3"/>
      <c r="AA485" s="3"/>
    </row>
    <row r="486" spans="2:27">
      <c r="B486" s="40"/>
      <c r="N486" s="2"/>
      <c r="O486" s="2"/>
      <c r="T486" s="2"/>
      <c r="U486" s="2"/>
      <c r="Z486" s="3"/>
      <c r="AA486" s="3"/>
    </row>
    <row r="487" spans="2:27">
      <c r="B487" s="40"/>
      <c r="N487" s="2"/>
      <c r="O487" s="2"/>
      <c r="T487" s="2"/>
      <c r="U487" s="2"/>
      <c r="Z487" s="3"/>
      <c r="AA487" s="3"/>
    </row>
    <row r="488" spans="2:27">
      <c r="B488" s="40"/>
      <c r="N488" s="2"/>
      <c r="O488" s="2"/>
      <c r="T488" s="2"/>
      <c r="U488" s="2"/>
      <c r="Z488" s="3"/>
      <c r="AA488" s="3"/>
    </row>
    <row r="489" spans="2:27">
      <c r="B489" s="40"/>
      <c r="N489" s="2"/>
      <c r="O489" s="2"/>
      <c r="T489" s="2"/>
      <c r="U489" s="2"/>
      <c r="Z489" s="3"/>
      <c r="AA489" s="3"/>
    </row>
    <row r="490" spans="2:27">
      <c r="B490" s="40"/>
      <c r="N490" s="2"/>
      <c r="O490" s="2"/>
      <c r="T490" s="2"/>
      <c r="U490" s="2"/>
      <c r="Z490" s="3"/>
      <c r="AA490" s="3"/>
    </row>
    <row r="491" spans="2:27">
      <c r="B491" s="40"/>
      <c r="N491" s="2"/>
      <c r="O491" s="2"/>
      <c r="T491" s="2"/>
      <c r="U491" s="2"/>
      <c r="Z491" s="3"/>
      <c r="AA491" s="3"/>
    </row>
    <row r="492" spans="2:27">
      <c r="B492" s="40"/>
      <c r="N492" s="2"/>
      <c r="O492" s="2"/>
      <c r="T492" s="2"/>
      <c r="U492" s="2"/>
      <c r="Z492" s="3"/>
      <c r="AA492" s="3"/>
    </row>
    <row r="493" spans="2:27">
      <c r="B493" s="40"/>
      <c r="N493" s="2"/>
      <c r="O493" s="2"/>
      <c r="T493" s="2"/>
      <c r="U493" s="2"/>
      <c r="Z493" s="3"/>
      <c r="AA493" s="3"/>
    </row>
    <row r="494" spans="2:27">
      <c r="B494" s="40"/>
      <c r="N494" s="2"/>
      <c r="O494" s="2"/>
      <c r="T494" s="2"/>
      <c r="U494" s="2"/>
      <c r="Z494" s="3"/>
      <c r="AA494" s="3"/>
    </row>
    <row r="495" spans="2:27">
      <c r="B495" s="40"/>
      <c r="N495" s="2"/>
      <c r="O495" s="2"/>
      <c r="T495" s="2"/>
      <c r="U495" s="2"/>
      <c r="Z495" s="3"/>
      <c r="AA495" s="3"/>
    </row>
    <row r="496" spans="2:27">
      <c r="B496" s="40"/>
      <c r="N496" s="2"/>
      <c r="O496" s="2"/>
      <c r="T496" s="2"/>
      <c r="U496" s="2"/>
      <c r="Z496" s="3"/>
      <c r="AA496" s="3"/>
    </row>
    <row r="497" spans="2:27">
      <c r="B497" s="40"/>
      <c r="N497" s="2"/>
      <c r="O497" s="2"/>
      <c r="T497" s="2"/>
      <c r="U497" s="2"/>
      <c r="Z497" s="3"/>
      <c r="AA497" s="3"/>
    </row>
    <row r="498" spans="2:27">
      <c r="B498" s="40"/>
      <c r="N498" s="2"/>
      <c r="O498" s="2"/>
      <c r="T498" s="2"/>
      <c r="U498" s="2"/>
      <c r="Z498" s="3"/>
      <c r="AA498" s="3"/>
    </row>
    <row r="499" spans="2:27">
      <c r="B499" s="40"/>
      <c r="N499" s="2"/>
      <c r="O499" s="2"/>
      <c r="T499" s="2"/>
      <c r="U499" s="2"/>
      <c r="Z499" s="3"/>
      <c r="AA499" s="3"/>
    </row>
    <row r="500" spans="2:27">
      <c r="B500" s="40"/>
      <c r="N500" s="2"/>
      <c r="O500" s="2"/>
      <c r="T500" s="2"/>
      <c r="U500" s="2"/>
      <c r="Z500" s="3"/>
      <c r="AA500" s="3"/>
    </row>
    <row r="501" spans="2:27">
      <c r="B501" s="40"/>
      <c r="N501" s="2"/>
      <c r="O501" s="2"/>
      <c r="T501" s="2"/>
      <c r="U501" s="2"/>
      <c r="Z501" s="3"/>
      <c r="AA501" s="3"/>
    </row>
    <row r="502" spans="2:27">
      <c r="B502" s="40"/>
      <c r="N502" s="2"/>
      <c r="O502" s="2"/>
      <c r="T502" s="2"/>
      <c r="U502" s="2"/>
      <c r="Z502" s="3"/>
      <c r="AA502" s="3"/>
    </row>
    <row r="503" spans="2:27">
      <c r="B503" s="40"/>
      <c r="N503" s="2"/>
      <c r="O503" s="2"/>
      <c r="T503" s="2"/>
      <c r="U503" s="2"/>
      <c r="Z503" s="3"/>
      <c r="AA503" s="3"/>
    </row>
    <row r="504" spans="2:27">
      <c r="B504" s="40"/>
      <c r="N504" s="2"/>
      <c r="O504" s="2"/>
      <c r="T504" s="2"/>
      <c r="U504" s="2"/>
      <c r="Z504" s="3"/>
      <c r="AA504" s="3"/>
    </row>
    <row r="505" spans="2:27">
      <c r="B505" s="40"/>
      <c r="N505" s="2"/>
      <c r="O505" s="2"/>
      <c r="T505" s="2"/>
      <c r="U505" s="2"/>
      <c r="Z505" s="3"/>
      <c r="AA505" s="3"/>
    </row>
    <row r="506" spans="2:27">
      <c r="B506" s="40"/>
      <c r="N506" s="2"/>
      <c r="O506" s="2"/>
      <c r="T506" s="2"/>
      <c r="U506" s="2"/>
      <c r="Z506" s="3"/>
      <c r="AA506" s="3"/>
    </row>
    <row r="507" spans="2:27">
      <c r="B507" s="40"/>
      <c r="N507" s="2"/>
      <c r="O507" s="2"/>
      <c r="T507" s="2"/>
      <c r="U507" s="2"/>
      <c r="Z507" s="3"/>
      <c r="AA507" s="3"/>
    </row>
    <row r="508" spans="2:27">
      <c r="B508" s="40"/>
      <c r="N508" s="2"/>
      <c r="O508" s="2"/>
      <c r="T508" s="2"/>
      <c r="U508" s="2"/>
      <c r="Z508" s="3"/>
      <c r="AA508" s="3"/>
    </row>
    <row r="509" spans="2:27">
      <c r="B509" s="40"/>
      <c r="N509" s="2"/>
      <c r="O509" s="2"/>
      <c r="T509" s="2"/>
      <c r="U509" s="2"/>
      <c r="Z509" s="3"/>
      <c r="AA509" s="3"/>
    </row>
    <row r="510" spans="2:27">
      <c r="B510" s="40"/>
      <c r="N510" s="2"/>
      <c r="O510" s="2"/>
      <c r="T510" s="2"/>
      <c r="U510" s="2"/>
      <c r="Z510" s="3"/>
      <c r="AA510" s="3"/>
    </row>
    <row r="511" spans="2:27">
      <c r="B511" s="40"/>
      <c r="N511" s="2"/>
      <c r="O511" s="2"/>
      <c r="T511" s="2"/>
      <c r="U511" s="2"/>
      <c r="Z511" s="3"/>
      <c r="AA511" s="3"/>
    </row>
    <row r="512" spans="2:27">
      <c r="B512" s="40"/>
      <c r="N512" s="2"/>
      <c r="O512" s="2"/>
      <c r="T512" s="2"/>
      <c r="U512" s="2"/>
      <c r="Z512" s="3"/>
      <c r="AA512" s="3"/>
    </row>
    <row r="513" spans="2:27">
      <c r="B513" s="40"/>
      <c r="N513" s="2"/>
      <c r="O513" s="2"/>
      <c r="T513" s="2"/>
      <c r="U513" s="2"/>
      <c r="Z513" s="3"/>
      <c r="AA513" s="3"/>
    </row>
    <row r="514" spans="2:27">
      <c r="B514" s="40"/>
      <c r="N514" s="2"/>
      <c r="O514" s="2"/>
      <c r="T514" s="2"/>
      <c r="U514" s="2"/>
      <c r="Z514" s="3"/>
      <c r="AA514" s="3"/>
    </row>
    <row r="515" spans="2:27">
      <c r="B515" s="40"/>
      <c r="N515" s="2"/>
      <c r="O515" s="2"/>
      <c r="T515" s="2"/>
      <c r="U515" s="2"/>
      <c r="Z515" s="3"/>
      <c r="AA515" s="3"/>
    </row>
    <row r="516" spans="2:27">
      <c r="B516" s="40"/>
      <c r="N516" s="2"/>
      <c r="O516" s="2"/>
      <c r="T516" s="2"/>
      <c r="U516" s="2"/>
      <c r="Z516" s="3"/>
      <c r="AA516" s="3"/>
    </row>
    <row r="517" spans="2:27">
      <c r="B517" s="40"/>
      <c r="N517" s="2"/>
      <c r="O517" s="2"/>
      <c r="T517" s="2"/>
      <c r="U517" s="2"/>
      <c r="Z517" s="3"/>
      <c r="AA517" s="3"/>
    </row>
    <row r="518" spans="2:27">
      <c r="B518" s="40"/>
      <c r="N518" s="2"/>
      <c r="O518" s="2"/>
      <c r="T518" s="2"/>
      <c r="U518" s="2"/>
      <c r="Z518" s="3"/>
      <c r="AA518" s="3"/>
    </row>
    <row r="519" spans="2:27">
      <c r="B519" s="40"/>
      <c r="N519" s="2"/>
      <c r="O519" s="2"/>
      <c r="T519" s="2"/>
      <c r="U519" s="2"/>
      <c r="Z519" s="3"/>
      <c r="AA519" s="3"/>
    </row>
    <row r="520" spans="2:27">
      <c r="B520" s="40"/>
      <c r="N520" s="2"/>
      <c r="O520" s="2"/>
      <c r="T520" s="2"/>
      <c r="U520" s="2"/>
      <c r="Z520" s="3"/>
      <c r="AA520" s="3"/>
    </row>
    <row r="521" spans="2:27">
      <c r="B521" s="40"/>
      <c r="N521" s="2"/>
      <c r="O521" s="2"/>
      <c r="T521" s="2"/>
      <c r="U521" s="2"/>
      <c r="Z521" s="3"/>
      <c r="AA521" s="3"/>
    </row>
    <row r="522" spans="2:27">
      <c r="B522" s="40"/>
      <c r="N522" s="2"/>
      <c r="O522" s="2"/>
      <c r="T522" s="2"/>
      <c r="U522" s="2"/>
      <c r="Z522" s="3"/>
      <c r="AA522" s="3"/>
    </row>
    <row r="523" spans="2:27">
      <c r="B523" s="40"/>
      <c r="N523" s="2"/>
      <c r="O523" s="2"/>
      <c r="T523" s="2"/>
      <c r="U523" s="2"/>
      <c r="Z523" s="3"/>
      <c r="AA523" s="3"/>
    </row>
    <row r="524" spans="2:27">
      <c r="B524" s="40"/>
      <c r="N524" s="2"/>
      <c r="O524" s="2"/>
      <c r="T524" s="2"/>
      <c r="U524" s="2"/>
      <c r="Z524" s="3"/>
      <c r="AA524" s="3"/>
    </row>
    <row r="525" spans="2:27">
      <c r="B525" s="40"/>
      <c r="N525" s="2"/>
      <c r="O525" s="2"/>
      <c r="T525" s="2"/>
      <c r="U525" s="2"/>
      <c r="Z525" s="3"/>
      <c r="AA525" s="3"/>
    </row>
    <row r="526" spans="2:27">
      <c r="B526" s="40"/>
      <c r="N526" s="2"/>
      <c r="O526" s="2"/>
      <c r="T526" s="2"/>
      <c r="U526" s="2"/>
      <c r="Z526" s="3"/>
      <c r="AA526" s="3"/>
    </row>
    <row r="527" spans="2:27">
      <c r="B527" s="40"/>
      <c r="N527" s="2"/>
      <c r="O527" s="2"/>
      <c r="T527" s="2"/>
      <c r="U527" s="2"/>
      <c r="Z527" s="3"/>
      <c r="AA527" s="3"/>
    </row>
    <row r="528" spans="2:27">
      <c r="B528" s="40"/>
      <c r="N528" s="2"/>
      <c r="O528" s="2"/>
      <c r="T528" s="2"/>
      <c r="U528" s="2"/>
      <c r="Z528" s="3"/>
      <c r="AA528" s="3"/>
    </row>
    <row r="529" spans="2:27">
      <c r="B529" s="40"/>
      <c r="N529" s="2"/>
      <c r="O529" s="2"/>
      <c r="T529" s="2"/>
      <c r="U529" s="2"/>
      <c r="Z529" s="3"/>
      <c r="AA529" s="3"/>
    </row>
    <row r="530" spans="2:27">
      <c r="B530" s="40"/>
      <c r="N530" s="2"/>
      <c r="O530" s="2"/>
      <c r="T530" s="2"/>
      <c r="U530" s="2"/>
      <c r="Z530" s="3"/>
      <c r="AA530" s="3"/>
    </row>
    <row r="531" spans="2:27">
      <c r="B531" s="40"/>
      <c r="N531" s="2"/>
      <c r="O531" s="2"/>
      <c r="T531" s="2"/>
      <c r="U531" s="2"/>
      <c r="Z531" s="3"/>
      <c r="AA531" s="3"/>
    </row>
    <row r="532" spans="2:27">
      <c r="B532" s="40"/>
      <c r="N532" s="2"/>
      <c r="O532" s="2"/>
      <c r="T532" s="2"/>
      <c r="U532" s="2"/>
      <c r="Z532" s="3"/>
      <c r="AA532" s="3"/>
    </row>
    <row r="533" spans="2:27">
      <c r="B533" s="40"/>
      <c r="N533" s="2"/>
      <c r="O533" s="2"/>
      <c r="T533" s="2"/>
      <c r="U533" s="2"/>
      <c r="Z533" s="3"/>
      <c r="AA533" s="3"/>
    </row>
    <row r="534" spans="2:27">
      <c r="B534" s="40"/>
      <c r="N534" s="2"/>
      <c r="O534" s="2"/>
      <c r="T534" s="2"/>
      <c r="U534" s="2"/>
      <c r="Z534" s="3"/>
      <c r="AA534" s="3"/>
    </row>
    <row r="535" spans="2:27">
      <c r="B535" s="40"/>
      <c r="N535" s="2"/>
      <c r="O535" s="2"/>
      <c r="T535" s="2"/>
      <c r="U535" s="2"/>
      <c r="Z535" s="3"/>
      <c r="AA535" s="3"/>
    </row>
    <row r="536" spans="2:27">
      <c r="B536" s="40"/>
      <c r="N536" s="2"/>
      <c r="O536" s="2"/>
      <c r="T536" s="2"/>
      <c r="U536" s="2"/>
      <c r="Z536" s="3"/>
      <c r="AA536" s="3"/>
    </row>
    <row r="537" spans="2:27">
      <c r="B537" s="40"/>
      <c r="N537" s="2"/>
      <c r="O537" s="2"/>
      <c r="T537" s="2"/>
      <c r="U537" s="2"/>
      <c r="Z537" s="3"/>
      <c r="AA537" s="3"/>
    </row>
    <row r="538" spans="2:27">
      <c r="B538" s="40"/>
      <c r="N538" s="2"/>
      <c r="O538" s="2"/>
      <c r="T538" s="2"/>
      <c r="U538" s="2"/>
      <c r="Z538" s="3"/>
      <c r="AA538" s="3"/>
    </row>
    <row r="539" spans="2:27">
      <c r="B539" s="40"/>
      <c r="N539" s="2"/>
      <c r="O539" s="2"/>
      <c r="T539" s="2"/>
      <c r="U539" s="2"/>
      <c r="Z539" s="3"/>
      <c r="AA539" s="3"/>
    </row>
    <row r="540" spans="2:27">
      <c r="B540" s="40"/>
      <c r="N540" s="2"/>
      <c r="O540" s="2"/>
      <c r="T540" s="2"/>
      <c r="U540" s="2"/>
      <c r="Z540" s="3"/>
      <c r="AA540" s="3"/>
    </row>
    <row r="541" spans="2:27">
      <c r="B541" s="40"/>
      <c r="N541" s="2"/>
      <c r="O541" s="2"/>
      <c r="T541" s="2"/>
      <c r="U541" s="2"/>
      <c r="Z541" s="3"/>
      <c r="AA541" s="3"/>
    </row>
    <row r="542" spans="2:27">
      <c r="B542" s="40"/>
      <c r="N542" s="2"/>
      <c r="O542" s="2"/>
      <c r="T542" s="2"/>
      <c r="U542" s="2"/>
      <c r="Z542" s="3"/>
      <c r="AA542" s="3"/>
    </row>
    <row r="543" spans="2:27">
      <c r="B543" s="40"/>
      <c r="N543" s="2"/>
      <c r="O543" s="2"/>
      <c r="T543" s="2"/>
      <c r="U543" s="2"/>
      <c r="Z543" s="3"/>
      <c r="AA543" s="3"/>
    </row>
    <row r="544" spans="2:27">
      <c r="B544" s="40"/>
      <c r="N544" s="2"/>
      <c r="O544" s="2"/>
      <c r="T544" s="2"/>
      <c r="U544" s="2"/>
      <c r="Z544" s="3"/>
      <c r="AA544" s="3"/>
    </row>
    <row r="545" spans="2:27">
      <c r="B545" s="40"/>
      <c r="N545" s="2"/>
      <c r="O545" s="2"/>
      <c r="T545" s="2"/>
      <c r="U545" s="2"/>
      <c r="Z545" s="3"/>
      <c r="AA545" s="3"/>
    </row>
    <row r="546" spans="2:27">
      <c r="B546" s="40"/>
      <c r="N546" s="2"/>
      <c r="O546" s="2"/>
      <c r="T546" s="2"/>
      <c r="U546" s="2"/>
      <c r="Z546" s="3"/>
      <c r="AA546" s="3"/>
    </row>
    <row r="547" spans="2:27">
      <c r="B547" s="40"/>
      <c r="N547" s="2"/>
      <c r="O547" s="2"/>
      <c r="T547" s="2"/>
      <c r="U547" s="2"/>
      <c r="Z547" s="3"/>
      <c r="AA547" s="3"/>
    </row>
    <row r="548" spans="2:27">
      <c r="B548" s="40"/>
      <c r="N548" s="2"/>
      <c r="O548" s="2"/>
      <c r="T548" s="2"/>
      <c r="U548" s="2"/>
      <c r="Z548" s="3"/>
      <c r="AA548" s="3"/>
    </row>
    <row r="549" spans="2:27">
      <c r="B549" s="40"/>
      <c r="N549" s="2"/>
      <c r="O549" s="2"/>
      <c r="T549" s="2"/>
      <c r="U549" s="2"/>
      <c r="Z549" s="3"/>
      <c r="AA549" s="3"/>
    </row>
    <row r="550" spans="2:27">
      <c r="B550" s="40"/>
      <c r="N550" s="2"/>
      <c r="O550" s="2"/>
      <c r="T550" s="2"/>
      <c r="U550" s="2"/>
      <c r="Z550" s="3"/>
      <c r="AA550" s="3"/>
    </row>
    <row r="551" spans="2:27">
      <c r="B551" s="40"/>
      <c r="N551" s="2"/>
      <c r="O551" s="2"/>
      <c r="T551" s="2"/>
      <c r="U551" s="2"/>
      <c r="Z551" s="3"/>
      <c r="AA551" s="3"/>
    </row>
    <row r="552" spans="2:27">
      <c r="B552" s="40"/>
      <c r="N552" s="2"/>
      <c r="O552" s="2"/>
      <c r="T552" s="2"/>
      <c r="U552" s="2"/>
      <c r="Z552" s="3"/>
      <c r="AA552" s="3"/>
    </row>
    <row r="553" spans="2:27">
      <c r="B553" s="40"/>
      <c r="N553" s="2"/>
      <c r="O553" s="2"/>
      <c r="T553" s="2"/>
      <c r="U553" s="2"/>
      <c r="Z553" s="3"/>
      <c r="AA553" s="3"/>
    </row>
    <row r="554" spans="2:27">
      <c r="B554" s="40"/>
      <c r="N554" s="2"/>
      <c r="O554" s="2"/>
      <c r="T554" s="2"/>
      <c r="U554" s="2"/>
      <c r="Z554" s="3"/>
      <c r="AA554" s="3"/>
    </row>
    <row r="555" spans="2:27">
      <c r="B555" s="40"/>
      <c r="N555" s="2"/>
      <c r="O555" s="2"/>
      <c r="T555" s="2"/>
      <c r="U555" s="2"/>
      <c r="Z555" s="3"/>
      <c r="AA555" s="3"/>
    </row>
    <row r="556" spans="2:27">
      <c r="B556" s="40"/>
      <c r="N556" s="2"/>
      <c r="O556" s="2"/>
      <c r="T556" s="2"/>
      <c r="U556" s="2"/>
      <c r="Z556" s="3"/>
      <c r="AA556" s="3"/>
    </row>
    <row r="557" spans="2:27">
      <c r="B557" s="40"/>
      <c r="N557" s="2"/>
      <c r="O557" s="2"/>
      <c r="T557" s="2"/>
      <c r="U557" s="2"/>
      <c r="Z557" s="3"/>
      <c r="AA557" s="3"/>
    </row>
    <row r="558" spans="2:27">
      <c r="B558" s="40"/>
      <c r="N558" s="2"/>
      <c r="O558" s="2"/>
      <c r="T558" s="2"/>
      <c r="U558" s="2"/>
      <c r="Z558" s="3"/>
      <c r="AA558" s="3"/>
    </row>
    <row r="559" spans="2:27">
      <c r="B559" s="40"/>
      <c r="N559" s="2"/>
      <c r="O559" s="2"/>
      <c r="T559" s="2"/>
      <c r="U559" s="2"/>
      <c r="Z559" s="3"/>
      <c r="AA559" s="3"/>
    </row>
    <row r="560" spans="2:27">
      <c r="B560" s="40"/>
      <c r="N560" s="2"/>
      <c r="O560" s="2"/>
      <c r="T560" s="2"/>
      <c r="U560" s="2"/>
      <c r="Z560" s="3"/>
      <c r="AA560" s="3"/>
    </row>
    <row r="561" spans="2:27">
      <c r="B561" s="40"/>
      <c r="N561" s="2"/>
      <c r="O561" s="2"/>
      <c r="T561" s="2"/>
      <c r="U561" s="2"/>
      <c r="Z561" s="3"/>
      <c r="AA561" s="3"/>
    </row>
    <row r="562" spans="2:27">
      <c r="B562" s="40"/>
      <c r="N562" s="2"/>
      <c r="O562" s="2"/>
      <c r="T562" s="2"/>
      <c r="U562" s="2"/>
      <c r="Z562" s="3"/>
      <c r="AA562" s="3"/>
    </row>
    <row r="563" spans="2:27">
      <c r="B563" s="40"/>
      <c r="N563" s="2"/>
      <c r="O563" s="2"/>
      <c r="T563" s="2"/>
      <c r="U563" s="2"/>
      <c r="Z563" s="3"/>
      <c r="AA563" s="3"/>
    </row>
    <row r="564" spans="2:27">
      <c r="B564" s="40"/>
      <c r="N564" s="2"/>
      <c r="O564" s="2"/>
      <c r="T564" s="2"/>
      <c r="U564" s="2"/>
      <c r="Z564" s="3"/>
      <c r="AA564" s="3"/>
    </row>
    <row r="565" spans="2:27">
      <c r="B565" s="40"/>
      <c r="N565" s="2"/>
      <c r="O565" s="2"/>
      <c r="T565" s="2"/>
      <c r="U565" s="2"/>
      <c r="Z565" s="3"/>
      <c r="AA565" s="3"/>
    </row>
    <row r="566" spans="2:27">
      <c r="B566" s="40"/>
      <c r="N566" s="2"/>
      <c r="O566" s="2"/>
      <c r="T566" s="2"/>
      <c r="U566" s="2"/>
      <c r="Z566" s="3"/>
      <c r="AA566" s="3"/>
    </row>
    <row r="567" spans="2:27">
      <c r="B567" s="40"/>
      <c r="N567" s="2"/>
      <c r="O567" s="2"/>
      <c r="T567" s="2"/>
      <c r="U567" s="2"/>
      <c r="Z567" s="3"/>
      <c r="AA567" s="3"/>
    </row>
    <row r="568" spans="2:27">
      <c r="B568" s="40"/>
      <c r="N568" s="2"/>
      <c r="O568" s="2"/>
      <c r="T568" s="2"/>
      <c r="U568" s="2"/>
      <c r="Z568" s="3"/>
      <c r="AA568" s="3"/>
    </row>
    <row r="569" spans="2:27">
      <c r="B569" s="40"/>
      <c r="N569" s="2"/>
      <c r="O569" s="2"/>
      <c r="T569" s="2"/>
      <c r="U569" s="2"/>
      <c r="Z569" s="3"/>
      <c r="AA569" s="3"/>
    </row>
    <row r="570" spans="2:27">
      <c r="B570" s="40"/>
      <c r="N570" s="2"/>
      <c r="O570" s="2"/>
      <c r="T570" s="2"/>
      <c r="U570" s="2"/>
      <c r="Z570" s="3"/>
      <c r="AA570" s="3"/>
    </row>
    <row r="571" spans="2:27">
      <c r="B571" s="40"/>
      <c r="N571" s="2"/>
      <c r="O571" s="2"/>
      <c r="T571" s="2"/>
      <c r="U571" s="2"/>
      <c r="Z571" s="3"/>
      <c r="AA571" s="3"/>
    </row>
    <row r="572" spans="2:27">
      <c r="B572" s="40"/>
      <c r="N572" s="2"/>
      <c r="O572" s="2"/>
      <c r="T572" s="2"/>
      <c r="U572" s="2"/>
      <c r="Z572" s="3"/>
      <c r="AA572" s="3"/>
    </row>
    <row r="573" spans="2:27">
      <c r="B573" s="40"/>
      <c r="N573" s="2"/>
      <c r="O573" s="2"/>
      <c r="T573" s="2"/>
      <c r="U573" s="2"/>
      <c r="Z573" s="3"/>
      <c r="AA573" s="3"/>
    </row>
    <row r="574" spans="2:27">
      <c r="B574" s="40"/>
      <c r="N574" s="2"/>
      <c r="O574" s="2"/>
      <c r="T574" s="2"/>
      <c r="U574" s="2"/>
      <c r="Z574" s="3"/>
      <c r="AA574" s="3"/>
    </row>
    <row r="575" spans="2:27">
      <c r="B575" s="40"/>
      <c r="N575" s="2"/>
      <c r="O575" s="2"/>
      <c r="T575" s="2"/>
      <c r="U575" s="2"/>
      <c r="Z575" s="3"/>
      <c r="AA575" s="3"/>
    </row>
    <row r="576" spans="2:27">
      <c r="B576" s="40"/>
      <c r="N576" s="2"/>
      <c r="O576" s="2"/>
      <c r="T576" s="2"/>
      <c r="U576" s="2"/>
      <c r="Z576" s="3"/>
      <c r="AA576" s="3"/>
    </row>
    <row r="577" spans="2:27">
      <c r="B577" s="40"/>
      <c r="N577" s="2"/>
      <c r="O577" s="2"/>
      <c r="T577" s="2"/>
      <c r="U577" s="2"/>
      <c r="Z577" s="3"/>
      <c r="AA577" s="3"/>
    </row>
    <row r="578" spans="2:27">
      <c r="B578" s="40"/>
      <c r="N578" s="2"/>
      <c r="O578" s="2"/>
      <c r="T578" s="2"/>
      <c r="U578" s="2"/>
      <c r="Z578" s="3"/>
      <c r="AA578" s="3"/>
    </row>
    <row r="579" spans="2:27">
      <c r="B579" s="40"/>
      <c r="N579" s="2"/>
      <c r="O579" s="2"/>
      <c r="T579" s="2"/>
      <c r="U579" s="2"/>
      <c r="Z579" s="3"/>
      <c r="AA579" s="3"/>
    </row>
    <row r="580" spans="2:27">
      <c r="B580" s="40"/>
      <c r="N580" s="2"/>
      <c r="O580" s="2"/>
      <c r="T580" s="2"/>
      <c r="U580" s="2"/>
      <c r="Z580" s="3"/>
      <c r="AA580" s="3"/>
    </row>
    <row r="581" spans="2:27">
      <c r="B581" s="40"/>
      <c r="N581" s="2"/>
      <c r="O581" s="2"/>
      <c r="T581" s="2"/>
      <c r="U581" s="2"/>
      <c r="Z581" s="3"/>
      <c r="AA581" s="3"/>
    </row>
    <row r="582" spans="2:27">
      <c r="B582" s="40"/>
      <c r="N582" s="2"/>
      <c r="O582" s="2"/>
      <c r="T582" s="2"/>
      <c r="U582" s="2"/>
      <c r="Z582" s="3"/>
      <c r="AA582" s="3"/>
    </row>
    <row r="583" spans="2:27">
      <c r="B583" s="40"/>
      <c r="N583" s="2"/>
      <c r="O583" s="2"/>
      <c r="T583" s="2"/>
      <c r="U583" s="2"/>
      <c r="Z583" s="3"/>
      <c r="AA583" s="3"/>
    </row>
    <row r="584" spans="2:27">
      <c r="B584" s="40"/>
      <c r="N584" s="2"/>
      <c r="O584" s="2"/>
      <c r="T584" s="2"/>
      <c r="U584" s="2"/>
      <c r="Z584" s="3"/>
      <c r="AA584" s="3"/>
    </row>
    <row r="585" spans="2:27">
      <c r="B585" s="40"/>
      <c r="N585" s="2"/>
      <c r="O585" s="2"/>
      <c r="T585" s="2"/>
      <c r="U585" s="2"/>
      <c r="Z585" s="3"/>
      <c r="AA585" s="3"/>
    </row>
    <row r="586" spans="2:27">
      <c r="B586" s="40"/>
      <c r="N586" s="2"/>
      <c r="O586" s="2"/>
      <c r="T586" s="2"/>
      <c r="U586" s="2"/>
      <c r="Z586" s="3"/>
      <c r="AA586" s="3"/>
    </row>
    <row r="587" spans="2:27">
      <c r="B587" s="40"/>
      <c r="N587" s="2"/>
      <c r="O587" s="2"/>
      <c r="T587" s="2"/>
      <c r="U587" s="2"/>
      <c r="Z587" s="3"/>
      <c r="AA587" s="3"/>
    </row>
    <row r="588" spans="2:27">
      <c r="B588" s="40"/>
      <c r="N588" s="2"/>
      <c r="O588" s="2"/>
      <c r="T588" s="2"/>
      <c r="U588" s="2"/>
      <c r="Z588" s="3"/>
      <c r="AA588" s="3"/>
    </row>
    <row r="589" spans="2:27">
      <c r="B589" s="40"/>
      <c r="N589" s="2"/>
      <c r="O589" s="2"/>
      <c r="T589" s="2"/>
      <c r="U589" s="2"/>
      <c r="Z589" s="3"/>
      <c r="AA589" s="3"/>
    </row>
    <row r="590" spans="2:27">
      <c r="B590" s="40"/>
      <c r="N590" s="2"/>
      <c r="O590" s="2"/>
      <c r="T590" s="2"/>
      <c r="U590" s="2"/>
      <c r="Z590" s="3"/>
      <c r="AA590" s="3"/>
    </row>
    <row r="591" spans="2:27">
      <c r="B591" s="40"/>
      <c r="N591" s="2"/>
      <c r="O591" s="2"/>
      <c r="T591" s="2"/>
      <c r="U591" s="2"/>
      <c r="Z591" s="3"/>
      <c r="AA591" s="3"/>
    </row>
    <row r="592" spans="2:27">
      <c r="B592" s="40"/>
      <c r="N592" s="2"/>
      <c r="O592" s="2"/>
      <c r="T592" s="2"/>
      <c r="U592" s="2"/>
      <c r="Z592" s="3"/>
      <c r="AA592" s="3"/>
    </row>
    <row r="593" spans="2:27">
      <c r="B593" s="40"/>
      <c r="N593" s="2"/>
      <c r="O593" s="2"/>
      <c r="T593" s="2"/>
      <c r="U593" s="2"/>
      <c r="Z593" s="3"/>
      <c r="AA593" s="3"/>
    </row>
    <row r="594" spans="2:27">
      <c r="B594" s="40"/>
      <c r="N594" s="2"/>
      <c r="O594" s="2"/>
      <c r="T594" s="2"/>
      <c r="U594" s="2"/>
      <c r="Z594" s="3"/>
      <c r="AA594" s="3"/>
    </row>
    <row r="595" spans="2:27">
      <c r="B595" s="40"/>
      <c r="N595" s="2"/>
      <c r="O595" s="2"/>
      <c r="T595" s="2"/>
      <c r="U595" s="2"/>
      <c r="Z595" s="3"/>
      <c r="AA595" s="3"/>
    </row>
    <row r="596" spans="2:27">
      <c r="B596" s="40"/>
      <c r="N596" s="2"/>
      <c r="O596" s="2"/>
      <c r="T596" s="2"/>
      <c r="U596" s="2"/>
      <c r="Z596" s="3"/>
      <c r="AA596" s="3"/>
    </row>
    <row r="597" spans="2:27">
      <c r="B597" s="40"/>
      <c r="N597" s="2"/>
      <c r="O597" s="2"/>
      <c r="T597" s="2"/>
      <c r="U597" s="2"/>
      <c r="Z597" s="3"/>
      <c r="AA597" s="3"/>
    </row>
    <row r="598" spans="2:27">
      <c r="B598" s="40"/>
      <c r="N598" s="2"/>
      <c r="O598" s="2"/>
      <c r="T598" s="2"/>
      <c r="U598" s="2"/>
      <c r="Z598" s="3"/>
      <c r="AA598" s="3"/>
    </row>
    <row r="599" spans="2:27">
      <c r="B599" s="40"/>
      <c r="N599" s="2"/>
      <c r="O599" s="2"/>
      <c r="T599" s="2"/>
      <c r="U599" s="2"/>
      <c r="Z599" s="3"/>
      <c r="AA599" s="3"/>
    </row>
    <row r="600" spans="2:27">
      <c r="B600" s="40"/>
      <c r="N600" s="2"/>
      <c r="O600" s="2"/>
      <c r="T600" s="2"/>
      <c r="U600" s="2"/>
      <c r="Z600" s="3"/>
      <c r="AA600" s="3"/>
    </row>
    <row r="601" spans="2:27">
      <c r="B601" s="40"/>
      <c r="N601" s="2"/>
      <c r="O601" s="2"/>
      <c r="T601" s="2"/>
      <c r="U601" s="2"/>
      <c r="Z601" s="3"/>
      <c r="AA601" s="3"/>
    </row>
    <row r="602" spans="2:27">
      <c r="B602" s="40"/>
      <c r="N602" s="2"/>
      <c r="O602" s="2"/>
      <c r="T602" s="2"/>
      <c r="U602" s="2"/>
      <c r="Z602" s="3"/>
      <c r="AA602" s="3"/>
    </row>
    <row r="603" spans="2:27">
      <c r="B603" s="40"/>
      <c r="N603" s="2"/>
      <c r="O603" s="2"/>
      <c r="T603" s="2"/>
      <c r="U603" s="2"/>
      <c r="Z603" s="3"/>
      <c r="AA603" s="3"/>
    </row>
    <row r="604" spans="2:27">
      <c r="B604" s="40"/>
      <c r="N604" s="2"/>
      <c r="O604" s="2"/>
      <c r="T604" s="2"/>
      <c r="U604" s="2"/>
      <c r="Z604" s="3"/>
      <c r="AA604" s="3"/>
    </row>
    <row r="605" spans="2:27">
      <c r="B605" s="40"/>
      <c r="N605" s="2"/>
      <c r="O605" s="2"/>
      <c r="T605" s="2"/>
      <c r="U605" s="2"/>
      <c r="Z605" s="3"/>
      <c r="AA605" s="3"/>
    </row>
    <row r="606" spans="2:27">
      <c r="B606" s="40"/>
      <c r="N606" s="2"/>
      <c r="O606" s="2"/>
      <c r="T606" s="2"/>
      <c r="U606" s="2"/>
      <c r="Z606" s="3"/>
      <c r="AA606" s="3"/>
    </row>
    <row r="607" spans="2:27">
      <c r="B607" s="40"/>
      <c r="N607" s="2"/>
      <c r="O607" s="2"/>
      <c r="T607" s="2"/>
      <c r="U607" s="2"/>
      <c r="Z607" s="3"/>
      <c r="AA607" s="3"/>
    </row>
    <row r="608" spans="2:27">
      <c r="B608" s="40"/>
      <c r="N608" s="2"/>
      <c r="O608" s="2"/>
      <c r="T608" s="2"/>
      <c r="U608" s="2"/>
      <c r="Z608" s="3"/>
      <c r="AA608" s="3"/>
    </row>
    <row r="609" spans="2:27">
      <c r="B609" s="40"/>
      <c r="N609" s="2"/>
      <c r="O609" s="2"/>
      <c r="T609" s="2"/>
      <c r="U609" s="2"/>
      <c r="Z609" s="3"/>
      <c r="AA609" s="3"/>
    </row>
    <row r="610" spans="2:27">
      <c r="B610" s="40"/>
      <c r="N610" s="2"/>
      <c r="O610" s="2"/>
      <c r="T610" s="2"/>
      <c r="U610" s="2"/>
      <c r="Z610" s="3"/>
      <c r="AA610" s="3"/>
    </row>
    <row r="611" spans="2:27">
      <c r="B611" s="40"/>
      <c r="N611" s="2"/>
      <c r="O611" s="2"/>
      <c r="T611" s="2"/>
      <c r="U611" s="2"/>
      <c r="Z611" s="3"/>
      <c r="AA611" s="3"/>
    </row>
    <row r="612" spans="2:27">
      <c r="B612" s="40"/>
      <c r="N612" s="2"/>
      <c r="O612" s="2"/>
      <c r="T612" s="2"/>
      <c r="U612" s="2"/>
      <c r="Z612" s="3"/>
      <c r="AA612" s="3"/>
    </row>
    <row r="613" spans="2:27">
      <c r="B613" s="40"/>
      <c r="N613" s="2"/>
      <c r="O613" s="2"/>
      <c r="T613" s="2"/>
      <c r="U613" s="2"/>
      <c r="Z613" s="3"/>
      <c r="AA613" s="3"/>
    </row>
    <row r="614" spans="2:27">
      <c r="B614" s="40"/>
      <c r="N614" s="2"/>
      <c r="O614" s="2"/>
      <c r="T614" s="2"/>
      <c r="U614" s="2"/>
      <c r="Z614" s="3"/>
      <c r="AA614" s="3"/>
    </row>
    <row r="615" spans="2:27">
      <c r="B615" s="40"/>
      <c r="N615" s="2"/>
      <c r="O615" s="2"/>
      <c r="T615" s="2"/>
      <c r="U615" s="2"/>
      <c r="Z615" s="3"/>
      <c r="AA615" s="3"/>
    </row>
    <row r="616" spans="2:27">
      <c r="B616" s="40"/>
      <c r="N616" s="2"/>
      <c r="O616" s="2"/>
      <c r="T616" s="2"/>
      <c r="U616" s="2"/>
      <c r="Z616" s="3"/>
      <c r="AA616" s="3"/>
    </row>
    <row r="617" spans="2:27">
      <c r="B617" s="40"/>
      <c r="N617" s="2"/>
      <c r="O617" s="2"/>
      <c r="T617" s="2"/>
      <c r="U617" s="2"/>
      <c r="Z617" s="3"/>
      <c r="AA617" s="3"/>
    </row>
    <row r="618" spans="2:27">
      <c r="B618" s="40"/>
      <c r="N618" s="2"/>
      <c r="O618" s="2"/>
      <c r="T618" s="2"/>
      <c r="U618" s="2"/>
      <c r="Z618" s="3"/>
      <c r="AA618" s="3"/>
    </row>
    <row r="619" spans="2:27">
      <c r="B619" s="40"/>
      <c r="N619" s="2"/>
      <c r="O619" s="2"/>
      <c r="T619" s="2"/>
      <c r="U619" s="2"/>
      <c r="Z619" s="3"/>
      <c r="AA619" s="3"/>
    </row>
    <row r="620" spans="2:27">
      <c r="B620" s="40"/>
      <c r="N620" s="2"/>
      <c r="O620" s="2"/>
      <c r="T620" s="2"/>
      <c r="U620" s="2"/>
      <c r="Z620" s="3"/>
      <c r="AA620" s="3"/>
    </row>
    <row r="621" spans="2:27">
      <c r="B621" s="40"/>
      <c r="N621" s="2"/>
      <c r="O621" s="2"/>
      <c r="T621" s="2"/>
      <c r="U621" s="2"/>
      <c r="Z621" s="3"/>
      <c r="AA621" s="3"/>
    </row>
    <row r="622" spans="2:27">
      <c r="B622" s="40"/>
      <c r="N622" s="2"/>
      <c r="O622" s="2"/>
      <c r="T622" s="2"/>
      <c r="U622" s="2"/>
      <c r="Z622" s="3"/>
      <c r="AA622" s="3"/>
    </row>
    <row r="623" spans="2:27">
      <c r="B623" s="40"/>
      <c r="N623" s="2"/>
      <c r="O623" s="2"/>
      <c r="T623" s="2"/>
      <c r="U623" s="2"/>
      <c r="Z623" s="3"/>
      <c r="AA623" s="3"/>
    </row>
    <row r="624" spans="2:27">
      <c r="B624" s="40"/>
      <c r="N624" s="2"/>
      <c r="O624" s="2"/>
      <c r="T624" s="2"/>
      <c r="U624" s="2"/>
      <c r="Z624" s="3"/>
      <c r="AA624" s="3"/>
    </row>
    <row r="625" spans="2:27">
      <c r="B625" s="40"/>
      <c r="N625" s="2"/>
      <c r="O625" s="2"/>
      <c r="T625" s="2"/>
      <c r="U625" s="2"/>
      <c r="Z625" s="3"/>
      <c r="AA625" s="3"/>
    </row>
    <row r="626" spans="2:27">
      <c r="B626" s="40"/>
      <c r="N626" s="2"/>
      <c r="O626" s="2"/>
      <c r="T626" s="2"/>
      <c r="U626" s="2"/>
      <c r="Z626" s="3"/>
      <c r="AA626" s="3"/>
    </row>
    <row r="627" spans="2:27">
      <c r="B627" s="40"/>
      <c r="N627" s="2"/>
      <c r="O627" s="2"/>
      <c r="T627" s="2"/>
      <c r="U627" s="2"/>
      <c r="Z627" s="3"/>
      <c r="AA627" s="3"/>
    </row>
    <row r="628" spans="2:27">
      <c r="B628" s="40"/>
      <c r="N628" s="2"/>
      <c r="O628" s="2"/>
      <c r="T628" s="2"/>
      <c r="U628" s="2"/>
      <c r="Z628" s="3"/>
      <c r="AA628" s="3"/>
    </row>
    <row r="629" spans="2:27">
      <c r="B629" s="40"/>
      <c r="N629" s="2"/>
      <c r="O629" s="2"/>
      <c r="T629" s="2"/>
      <c r="U629" s="2"/>
      <c r="Z629" s="3"/>
      <c r="AA629" s="3"/>
    </row>
    <row r="630" spans="2:27">
      <c r="B630" s="40"/>
      <c r="N630" s="2"/>
      <c r="O630" s="2"/>
      <c r="T630" s="2"/>
      <c r="U630" s="2"/>
      <c r="Z630" s="3"/>
      <c r="AA630" s="3"/>
    </row>
    <row r="631" spans="2:27">
      <c r="B631" s="40"/>
      <c r="N631" s="2"/>
      <c r="O631" s="2"/>
      <c r="T631" s="2"/>
      <c r="U631" s="2"/>
      <c r="Z631" s="3"/>
      <c r="AA631" s="3"/>
    </row>
    <row r="632" spans="2:27">
      <c r="B632" s="40"/>
      <c r="N632" s="2"/>
      <c r="O632" s="2"/>
      <c r="T632" s="2"/>
      <c r="U632" s="2"/>
      <c r="Z632" s="3"/>
      <c r="AA632" s="3"/>
    </row>
    <row r="633" spans="2:27">
      <c r="B633" s="40"/>
      <c r="N633" s="2"/>
      <c r="O633" s="2"/>
      <c r="T633" s="2"/>
      <c r="U633" s="2"/>
      <c r="Z633" s="3"/>
      <c r="AA633" s="3"/>
    </row>
    <row r="634" spans="2:27">
      <c r="B634" s="40"/>
      <c r="N634" s="2"/>
      <c r="O634" s="2"/>
      <c r="T634" s="2"/>
      <c r="U634" s="2"/>
      <c r="Z634" s="3"/>
      <c r="AA634" s="3"/>
    </row>
    <row r="635" spans="2:27">
      <c r="B635" s="40"/>
      <c r="N635" s="2"/>
      <c r="O635" s="2"/>
      <c r="T635" s="2"/>
      <c r="U635" s="2"/>
      <c r="Z635" s="3"/>
      <c r="AA635" s="3"/>
    </row>
    <row r="636" spans="2:27">
      <c r="B636" s="40"/>
      <c r="N636" s="2"/>
      <c r="O636" s="2"/>
      <c r="T636" s="2"/>
      <c r="U636" s="2"/>
      <c r="Z636" s="3"/>
      <c r="AA636" s="3"/>
    </row>
    <row r="637" spans="2:27">
      <c r="B637" s="40"/>
      <c r="N637" s="2"/>
      <c r="O637" s="2"/>
      <c r="T637" s="2"/>
      <c r="U637" s="2"/>
      <c r="Z637" s="3"/>
      <c r="AA637" s="3"/>
    </row>
    <row r="638" spans="2:27">
      <c r="B638" s="40"/>
      <c r="N638" s="2"/>
      <c r="O638" s="2"/>
      <c r="T638" s="2"/>
      <c r="U638" s="2"/>
      <c r="Z638" s="3"/>
      <c r="AA638" s="3"/>
    </row>
    <row r="639" spans="2:27">
      <c r="B639" s="40"/>
      <c r="N639" s="2"/>
      <c r="O639" s="2"/>
      <c r="T639" s="2"/>
      <c r="U639" s="2"/>
      <c r="Z639" s="3"/>
      <c r="AA639" s="3"/>
    </row>
    <row r="640" spans="2:27">
      <c r="B640" s="40"/>
      <c r="N640" s="2"/>
      <c r="O640" s="2"/>
      <c r="T640" s="2"/>
      <c r="U640" s="2"/>
      <c r="Z640" s="3"/>
      <c r="AA640" s="3"/>
    </row>
    <row r="641" spans="2:27">
      <c r="B641" s="40"/>
      <c r="N641" s="2"/>
      <c r="O641" s="2"/>
      <c r="T641" s="2"/>
      <c r="U641" s="2"/>
      <c r="Z641" s="3"/>
      <c r="AA641" s="3"/>
    </row>
    <row r="642" spans="2:27">
      <c r="B642" s="40"/>
      <c r="N642" s="2"/>
      <c r="O642" s="2"/>
      <c r="T642" s="2"/>
      <c r="U642" s="2"/>
      <c r="Z642" s="3"/>
      <c r="AA642" s="3"/>
    </row>
    <row r="643" spans="2:27">
      <c r="B643" s="40"/>
      <c r="N643" s="2"/>
      <c r="O643" s="2"/>
      <c r="T643" s="2"/>
      <c r="U643" s="2"/>
      <c r="Z643" s="3"/>
      <c r="AA643" s="3"/>
    </row>
    <row r="644" spans="2:27">
      <c r="B644" s="40"/>
      <c r="N644" s="2"/>
      <c r="O644" s="2"/>
      <c r="T644" s="2"/>
      <c r="U644" s="2"/>
      <c r="Z644" s="3"/>
      <c r="AA644" s="3"/>
    </row>
    <row r="645" spans="2:27">
      <c r="B645" s="40"/>
      <c r="N645" s="2"/>
      <c r="O645" s="2"/>
      <c r="T645" s="2"/>
      <c r="U645" s="2"/>
      <c r="Z645" s="3"/>
      <c r="AA645" s="3"/>
    </row>
    <row r="646" spans="2:27">
      <c r="B646" s="40"/>
      <c r="N646" s="2"/>
      <c r="O646" s="2"/>
      <c r="T646" s="2"/>
      <c r="U646" s="2"/>
      <c r="Z646" s="3"/>
      <c r="AA646" s="3"/>
    </row>
    <row r="647" spans="2:27">
      <c r="B647" s="40"/>
      <c r="N647" s="2"/>
      <c r="O647" s="2"/>
      <c r="T647" s="2"/>
      <c r="U647" s="2"/>
      <c r="Z647" s="3"/>
      <c r="AA647" s="3"/>
    </row>
    <row r="648" spans="2:27">
      <c r="B648" s="40"/>
      <c r="N648" s="2"/>
      <c r="O648" s="2"/>
      <c r="T648" s="2"/>
      <c r="U648" s="2"/>
      <c r="Z648" s="3"/>
      <c r="AA648" s="3"/>
    </row>
    <row r="649" spans="2:27">
      <c r="B649" s="40"/>
      <c r="N649" s="2"/>
      <c r="O649" s="2"/>
      <c r="T649" s="2"/>
      <c r="U649" s="2"/>
      <c r="Z649" s="3"/>
      <c r="AA649" s="3"/>
    </row>
    <row r="650" spans="2:27">
      <c r="B650" s="40"/>
      <c r="N650" s="2"/>
      <c r="O650" s="2"/>
      <c r="T650" s="2"/>
      <c r="U650" s="2"/>
      <c r="Z650" s="3"/>
      <c r="AA650" s="3"/>
    </row>
    <row r="651" spans="2:27">
      <c r="B651" s="40"/>
      <c r="N651" s="2"/>
      <c r="O651" s="2"/>
      <c r="T651" s="2"/>
      <c r="U651" s="2"/>
      <c r="Z651" s="3"/>
      <c r="AA651" s="3"/>
    </row>
    <row r="652" spans="2:27">
      <c r="B652" s="40"/>
      <c r="N652" s="2"/>
      <c r="O652" s="2"/>
      <c r="T652" s="2"/>
      <c r="U652" s="2"/>
      <c r="Z652" s="3"/>
      <c r="AA652" s="3"/>
    </row>
    <row r="653" spans="2:27">
      <c r="B653" s="40"/>
      <c r="N653" s="2"/>
      <c r="O653" s="2"/>
      <c r="T653" s="2"/>
      <c r="U653" s="2"/>
      <c r="Z653" s="3"/>
      <c r="AA653" s="3"/>
    </row>
    <row r="654" spans="2:27">
      <c r="B654" s="40"/>
      <c r="N654" s="2"/>
      <c r="O654" s="2"/>
      <c r="T654" s="2"/>
      <c r="U654" s="2"/>
      <c r="Z654" s="3"/>
      <c r="AA654" s="3"/>
    </row>
    <row r="655" spans="2:27">
      <c r="B655" s="40"/>
      <c r="N655" s="2"/>
      <c r="O655" s="2"/>
      <c r="T655" s="2"/>
      <c r="U655" s="2"/>
      <c r="Z655" s="3"/>
      <c r="AA655" s="3"/>
    </row>
    <row r="656" spans="2:27">
      <c r="B656" s="40"/>
      <c r="N656" s="2"/>
      <c r="O656" s="2"/>
      <c r="T656" s="2"/>
      <c r="U656" s="2"/>
      <c r="Z656" s="3"/>
      <c r="AA656" s="3"/>
    </row>
    <row r="657" spans="2:27">
      <c r="B657" s="40"/>
      <c r="N657" s="2"/>
      <c r="O657" s="2"/>
      <c r="T657" s="2"/>
      <c r="U657" s="2"/>
      <c r="Z657" s="3"/>
      <c r="AA657" s="3"/>
    </row>
    <row r="658" spans="2:27">
      <c r="B658" s="40"/>
      <c r="N658" s="2"/>
      <c r="O658" s="2"/>
      <c r="T658" s="2"/>
      <c r="U658" s="2"/>
      <c r="Z658" s="3"/>
      <c r="AA658" s="3"/>
    </row>
    <row r="659" spans="2:27">
      <c r="B659" s="40"/>
      <c r="N659" s="2"/>
      <c r="O659" s="2"/>
      <c r="T659" s="2"/>
      <c r="U659" s="2"/>
      <c r="Z659" s="3"/>
      <c r="AA659" s="3"/>
    </row>
    <row r="660" spans="2:27">
      <c r="B660" s="40"/>
      <c r="N660" s="2"/>
      <c r="O660" s="2"/>
      <c r="T660" s="2"/>
      <c r="U660" s="2"/>
      <c r="Z660" s="3"/>
      <c r="AA660" s="3"/>
    </row>
    <row r="661" spans="2:27">
      <c r="B661" s="40"/>
      <c r="N661" s="2"/>
      <c r="O661" s="2"/>
      <c r="T661" s="2"/>
      <c r="U661" s="2"/>
      <c r="Z661" s="3"/>
      <c r="AA661" s="3"/>
    </row>
    <row r="662" spans="2:27">
      <c r="B662" s="40"/>
      <c r="N662" s="2"/>
      <c r="O662" s="2"/>
      <c r="T662" s="2"/>
      <c r="U662" s="2"/>
      <c r="Z662" s="3"/>
      <c r="AA662" s="3"/>
    </row>
    <row r="663" spans="2:27">
      <c r="B663" s="40"/>
      <c r="N663" s="2"/>
      <c r="O663" s="2"/>
      <c r="T663" s="2"/>
      <c r="U663" s="2"/>
      <c r="Z663" s="3"/>
      <c r="AA663" s="3"/>
    </row>
    <row r="664" spans="2:27">
      <c r="B664" s="40"/>
      <c r="N664" s="2"/>
      <c r="O664" s="2"/>
      <c r="T664" s="2"/>
      <c r="U664" s="2"/>
      <c r="Z664" s="3"/>
      <c r="AA664" s="3"/>
    </row>
    <row r="665" spans="2:27">
      <c r="B665" s="40"/>
      <c r="N665" s="2"/>
      <c r="O665" s="2"/>
      <c r="T665" s="2"/>
      <c r="U665" s="2"/>
      <c r="Z665" s="3"/>
      <c r="AA665" s="3"/>
    </row>
    <row r="666" spans="2:27">
      <c r="B666" s="40"/>
      <c r="N666" s="2"/>
      <c r="O666" s="2"/>
      <c r="T666" s="2"/>
      <c r="U666" s="2"/>
      <c r="Z666" s="3"/>
      <c r="AA666" s="3"/>
    </row>
    <row r="667" spans="2:27">
      <c r="B667" s="40"/>
      <c r="N667" s="2"/>
      <c r="O667" s="2"/>
      <c r="T667" s="2"/>
      <c r="U667" s="2"/>
      <c r="Z667" s="3"/>
      <c r="AA667" s="3"/>
    </row>
    <row r="668" spans="2:27">
      <c r="B668" s="40"/>
      <c r="N668" s="2"/>
      <c r="O668" s="2"/>
      <c r="T668" s="2"/>
      <c r="U668" s="2"/>
      <c r="Z668" s="3"/>
      <c r="AA668" s="3"/>
    </row>
    <row r="669" spans="2:27">
      <c r="B669" s="40"/>
      <c r="N669" s="2"/>
      <c r="O669" s="2"/>
      <c r="T669" s="2"/>
      <c r="U669" s="2"/>
      <c r="Z669" s="3"/>
      <c r="AA669" s="3"/>
    </row>
    <row r="670" spans="2:27">
      <c r="B670" s="40"/>
      <c r="N670" s="2"/>
      <c r="O670" s="2"/>
      <c r="T670" s="2"/>
      <c r="U670" s="2"/>
      <c r="Z670" s="3"/>
      <c r="AA670" s="3"/>
    </row>
    <row r="671" spans="2:27">
      <c r="B671" s="40"/>
      <c r="N671" s="2"/>
      <c r="O671" s="2"/>
      <c r="T671" s="2"/>
      <c r="U671" s="2"/>
      <c r="Z671" s="3"/>
      <c r="AA671" s="3"/>
    </row>
    <row r="672" spans="2:27">
      <c r="B672" s="40"/>
      <c r="N672" s="2"/>
      <c r="O672" s="2"/>
      <c r="T672" s="2"/>
      <c r="U672" s="2"/>
      <c r="Z672" s="3"/>
      <c r="AA672" s="3"/>
    </row>
    <row r="673" spans="2:27">
      <c r="B673" s="40"/>
      <c r="N673" s="2"/>
      <c r="O673" s="2"/>
      <c r="T673" s="2"/>
      <c r="U673" s="2"/>
      <c r="Z673" s="3"/>
      <c r="AA673" s="3"/>
    </row>
    <row r="674" spans="2:27">
      <c r="B674" s="40"/>
      <c r="N674" s="2"/>
      <c r="O674" s="2"/>
      <c r="T674" s="2"/>
      <c r="U674" s="2"/>
      <c r="Z674" s="3"/>
      <c r="AA674" s="3"/>
    </row>
    <row r="675" spans="2:27">
      <c r="B675" s="40"/>
      <c r="N675" s="2"/>
      <c r="O675" s="2"/>
      <c r="T675" s="2"/>
      <c r="U675" s="2"/>
      <c r="Z675" s="3"/>
      <c r="AA675" s="3"/>
    </row>
    <row r="676" spans="2:27">
      <c r="B676" s="40"/>
      <c r="N676" s="2"/>
      <c r="O676" s="2"/>
      <c r="T676" s="2"/>
      <c r="U676" s="2"/>
      <c r="Z676" s="3"/>
      <c r="AA676" s="3"/>
    </row>
    <row r="677" spans="2:27">
      <c r="B677" s="40"/>
      <c r="N677" s="2"/>
      <c r="O677" s="2"/>
      <c r="T677" s="2"/>
      <c r="U677" s="2"/>
      <c r="Z677" s="3"/>
      <c r="AA677" s="3"/>
    </row>
    <row r="678" spans="2:27">
      <c r="B678" s="40"/>
      <c r="N678" s="2"/>
      <c r="O678" s="2"/>
      <c r="T678" s="2"/>
      <c r="U678" s="2"/>
      <c r="Z678" s="3"/>
      <c r="AA678" s="3"/>
    </row>
    <row r="679" spans="2:27">
      <c r="B679" s="40"/>
      <c r="N679" s="2"/>
      <c r="O679" s="2"/>
      <c r="T679" s="2"/>
      <c r="U679" s="2"/>
      <c r="Z679" s="3"/>
      <c r="AA679" s="3"/>
    </row>
    <row r="680" spans="2:27">
      <c r="B680" s="40"/>
      <c r="N680" s="2"/>
      <c r="O680" s="2"/>
      <c r="T680" s="2"/>
      <c r="U680" s="2"/>
      <c r="Z680" s="3"/>
      <c r="AA680" s="3"/>
    </row>
    <row r="681" spans="2:27">
      <c r="B681" s="40"/>
      <c r="N681" s="2"/>
      <c r="O681" s="2"/>
      <c r="T681" s="2"/>
      <c r="U681" s="2"/>
      <c r="Z681" s="3"/>
      <c r="AA681" s="3"/>
    </row>
    <row r="682" spans="2:27">
      <c r="B682" s="40"/>
      <c r="N682" s="2"/>
      <c r="O682" s="2"/>
      <c r="T682" s="2"/>
      <c r="U682" s="2"/>
      <c r="Z682" s="3"/>
      <c r="AA682" s="3"/>
    </row>
    <row r="683" spans="2:27">
      <c r="B683" s="40"/>
      <c r="N683" s="2"/>
      <c r="O683" s="2"/>
      <c r="T683" s="2"/>
      <c r="U683" s="2"/>
      <c r="Z683" s="3"/>
      <c r="AA683" s="3"/>
    </row>
    <row r="684" spans="2:27">
      <c r="B684" s="40"/>
      <c r="N684" s="2"/>
      <c r="O684" s="2"/>
      <c r="T684" s="2"/>
      <c r="U684" s="2"/>
      <c r="Z684" s="3"/>
      <c r="AA684" s="3"/>
    </row>
    <row r="685" spans="2:27">
      <c r="B685" s="40"/>
      <c r="N685" s="2"/>
      <c r="O685" s="2"/>
      <c r="T685" s="2"/>
      <c r="U685" s="2"/>
      <c r="Z685" s="3"/>
      <c r="AA685" s="3"/>
    </row>
    <row r="686" spans="2:27">
      <c r="B686" s="40"/>
      <c r="N686" s="2"/>
      <c r="O686" s="2"/>
      <c r="T686" s="2"/>
      <c r="U686" s="2"/>
      <c r="Z686" s="3"/>
      <c r="AA686" s="3"/>
    </row>
    <row r="687" spans="2:27">
      <c r="B687" s="40"/>
      <c r="N687" s="2"/>
      <c r="O687" s="2"/>
      <c r="T687" s="2"/>
      <c r="U687" s="2"/>
      <c r="Z687" s="3"/>
      <c r="AA687" s="3"/>
    </row>
    <row r="688" spans="2:27">
      <c r="B688" s="40"/>
      <c r="N688" s="2"/>
      <c r="O688" s="2"/>
      <c r="T688" s="2"/>
      <c r="U688" s="2"/>
      <c r="Z688" s="3"/>
      <c r="AA688" s="3"/>
    </row>
    <row r="689" spans="2:27">
      <c r="B689" s="40"/>
      <c r="N689" s="2"/>
      <c r="O689" s="2"/>
      <c r="T689" s="2"/>
      <c r="U689" s="2"/>
      <c r="Z689" s="3"/>
      <c r="AA689" s="3"/>
    </row>
    <row r="690" spans="2:27">
      <c r="B690" s="40"/>
      <c r="N690" s="2"/>
      <c r="O690" s="2"/>
      <c r="T690" s="2"/>
      <c r="U690" s="2"/>
      <c r="Z690" s="3"/>
      <c r="AA690" s="3"/>
    </row>
    <row r="691" spans="2:27">
      <c r="B691" s="40"/>
      <c r="N691" s="2"/>
      <c r="O691" s="2"/>
      <c r="T691" s="2"/>
      <c r="U691" s="2"/>
      <c r="Z691" s="3"/>
      <c r="AA691" s="3"/>
    </row>
    <row r="692" spans="2:27">
      <c r="B692" s="40"/>
      <c r="N692" s="2"/>
      <c r="O692" s="2"/>
      <c r="T692" s="2"/>
      <c r="U692" s="2"/>
      <c r="Z692" s="3"/>
      <c r="AA692" s="3"/>
    </row>
    <row r="693" spans="2:27">
      <c r="B693" s="40"/>
      <c r="N693" s="2"/>
      <c r="O693" s="2"/>
      <c r="T693" s="2"/>
      <c r="U693" s="2"/>
      <c r="Z693" s="3"/>
      <c r="AA693" s="3"/>
    </row>
    <row r="694" spans="2:27">
      <c r="B694" s="40"/>
      <c r="N694" s="2"/>
      <c r="O694" s="2"/>
      <c r="T694" s="2"/>
      <c r="U694" s="2"/>
      <c r="Z694" s="3"/>
      <c r="AA694" s="3"/>
    </row>
    <row r="695" spans="2:27">
      <c r="B695" s="40"/>
      <c r="N695" s="2"/>
      <c r="O695" s="2"/>
      <c r="T695" s="2"/>
      <c r="U695" s="2"/>
      <c r="Z695" s="3"/>
      <c r="AA695" s="3"/>
    </row>
    <row r="696" spans="2:27">
      <c r="B696" s="40"/>
      <c r="N696" s="2"/>
      <c r="O696" s="2"/>
      <c r="T696" s="2"/>
      <c r="U696" s="2"/>
      <c r="Z696" s="3"/>
      <c r="AA696" s="3"/>
    </row>
    <row r="697" spans="2:27">
      <c r="B697" s="40"/>
      <c r="N697" s="2"/>
      <c r="O697" s="2"/>
      <c r="T697" s="2"/>
      <c r="U697" s="2"/>
      <c r="Z697" s="3"/>
      <c r="AA697" s="3"/>
    </row>
    <row r="698" spans="2:27">
      <c r="B698" s="40"/>
      <c r="N698" s="2"/>
      <c r="O698" s="2"/>
      <c r="T698" s="2"/>
      <c r="U698" s="2"/>
      <c r="Z698" s="3"/>
      <c r="AA698" s="3"/>
    </row>
    <row r="699" spans="2:27">
      <c r="B699" s="40"/>
      <c r="N699" s="2"/>
      <c r="O699" s="2"/>
      <c r="T699" s="2"/>
      <c r="U699" s="2"/>
      <c r="Z699" s="3"/>
      <c r="AA699" s="3"/>
    </row>
    <row r="700" spans="2:27">
      <c r="B700" s="40"/>
      <c r="N700" s="2"/>
      <c r="O700" s="2"/>
      <c r="T700" s="2"/>
      <c r="U700" s="2"/>
      <c r="Z700" s="3"/>
      <c r="AA700" s="3"/>
    </row>
    <row r="701" spans="2:27">
      <c r="B701" s="40"/>
      <c r="N701" s="2"/>
      <c r="O701" s="2"/>
      <c r="T701" s="2"/>
      <c r="U701" s="2"/>
      <c r="Z701" s="3"/>
      <c r="AA701" s="3"/>
    </row>
    <row r="702" spans="2:27">
      <c r="B702" s="40"/>
      <c r="N702" s="2"/>
      <c r="O702" s="2"/>
      <c r="T702" s="2"/>
      <c r="U702" s="2"/>
      <c r="Z702" s="3"/>
      <c r="AA702" s="3"/>
    </row>
    <row r="703" spans="2:27">
      <c r="B703" s="40"/>
      <c r="N703" s="2"/>
      <c r="O703" s="2"/>
      <c r="T703" s="2"/>
      <c r="U703" s="2"/>
      <c r="Z703" s="3"/>
      <c r="AA703" s="3"/>
    </row>
    <row r="704" spans="2:27">
      <c r="B704" s="40"/>
      <c r="N704" s="2"/>
      <c r="O704" s="2"/>
      <c r="T704" s="2"/>
      <c r="U704" s="2"/>
      <c r="Z704" s="3"/>
      <c r="AA704" s="3"/>
    </row>
    <row r="705" spans="2:27">
      <c r="B705" s="40"/>
      <c r="N705" s="2"/>
      <c r="O705" s="2"/>
      <c r="T705" s="2"/>
      <c r="U705" s="2"/>
      <c r="Z705" s="3"/>
      <c r="AA705" s="3"/>
    </row>
    <row r="706" spans="2:27">
      <c r="B706" s="40"/>
      <c r="N706" s="2"/>
      <c r="O706" s="2"/>
      <c r="T706" s="2"/>
      <c r="U706" s="2"/>
      <c r="Z706" s="3"/>
      <c r="AA706" s="3"/>
    </row>
    <row r="707" spans="2:27">
      <c r="B707" s="40"/>
      <c r="N707" s="2"/>
      <c r="O707" s="2"/>
      <c r="T707" s="2"/>
      <c r="U707" s="2"/>
      <c r="Z707" s="3"/>
      <c r="AA707" s="3"/>
    </row>
    <row r="708" spans="2:27">
      <c r="B708" s="40"/>
      <c r="N708" s="2"/>
      <c r="O708" s="2"/>
      <c r="T708" s="2"/>
      <c r="U708" s="2"/>
      <c r="Z708" s="3"/>
      <c r="AA708" s="3"/>
    </row>
    <row r="709" spans="2:27">
      <c r="B709" s="40"/>
      <c r="N709" s="2"/>
      <c r="O709" s="2"/>
      <c r="T709" s="2"/>
      <c r="U709" s="2"/>
      <c r="Z709" s="3"/>
      <c r="AA709" s="3"/>
    </row>
    <row r="710" spans="2:27">
      <c r="B710" s="40"/>
      <c r="N710" s="2"/>
      <c r="O710" s="2"/>
      <c r="T710" s="2"/>
      <c r="U710" s="2"/>
      <c r="Z710" s="3"/>
      <c r="AA710" s="3"/>
    </row>
    <row r="711" spans="2:27">
      <c r="B711" s="40"/>
      <c r="N711" s="2"/>
      <c r="O711" s="2"/>
      <c r="T711" s="2"/>
      <c r="U711" s="2"/>
      <c r="Z711" s="3"/>
      <c r="AA711" s="3"/>
    </row>
    <row r="712" spans="2:27">
      <c r="B712" s="40"/>
      <c r="N712" s="2"/>
      <c r="O712" s="2"/>
      <c r="T712" s="2"/>
      <c r="U712" s="2"/>
      <c r="Z712" s="3"/>
      <c r="AA712" s="3"/>
    </row>
    <row r="713" spans="2:27">
      <c r="B713" s="40"/>
      <c r="N713" s="2"/>
      <c r="O713" s="2"/>
      <c r="T713" s="2"/>
      <c r="U713" s="2"/>
      <c r="Z713" s="3"/>
      <c r="AA713" s="3"/>
    </row>
    <row r="714" spans="2:27">
      <c r="B714" s="40"/>
      <c r="N714" s="2"/>
      <c r="O714" s="2"/>
      <c r="T714" s="2"/>
      <c r="U714" s="2"/>
      <c r="Z714" s="3"/>
      <c r="AA714" s="3"/>
    </row>
    <row r="715" spans="2:27">
      <c r="B715" s="40"/>
      <c r="N715" s="2"/>
      <c r="O715" s="2"/>
      <c r="T715" s="2"/>
      <c r="U715" s="2"/>
      <c r="Z715" s="3"/>
      <c r="AA715" s="3"/>
    </row>
    <row r="716" spans="2:27">
      <c r="B716" s="40"/>
      <c r="N716" s="2"/>
      <c r="O716" s="2"/>
      <c r="T716" s="2"/>
      <c r="U716" s="2"/>
      <c r="Z716" s="3"/>
      <c r="AA716" s="3"/>
    </row>
    <row r="717" spans="2:27">
      <c r="B717" s="40"/>
      <c r="N717" s="2"/>
      <c r="O717" s="2"/>
      <c r="T717" s="2"/>
      <c r="U717" s="2"/>
      <c r="Z717" s="3"/>
      <c r="AA717" s="3"/>
    </row>
    <row r="718" spans="2:27">
      <c r="B718" s="40"/>
      <c r="N718" s="2"/>
      <c r="O718" s="2"/>
      <c r="T718" s="2"/>
      <c r="U718" s="2"/>
      <c r="Z718" s="3"/>
      <c r="AA718" s="3"/>
    </row>
    <row r="719" spans="2:27">
      <c r="B719" s="40"/>
      <c r="N719" s="2"/>
      <c r="O719" s="2"/>
      <c r="T719" s="2"/>
      <c r="U719" s="2"/>
      <c r="Z719" s="3"/>
      <c r="AA719" s="3"/>
    </row>
    <row r="720" spans="2:27">
      <c r="B720" s="40"/>
      <c r="N720" s="2"/>
      <c r="O720" s="2"/>
      <c r="T720" s="2"/>
      <c r="U720" s="2"/>
      <c r="Z720" s="3"/>
      <c r="AA720" s="3"/>
    </row>
    <row r="721" spans="2:27">
      <c r="B721" s="40"/>
      <c r="N721" s="2"/>
      <c r="O721" s="2"/>
      <c r="T721" s="2"/>
      <c r="U721" s="2"/>
      <c r="Z721" s="3"/>
      <c r="AA721" s="3"/>
    </row>
    <row r="722" spans="2:27">
      <c r="B722" s="40"/>
      <c r="N722" s="2"/>
      <c r="O722" s="2"/>
      <c r="T722" s="2"/>
      <c r="U722" s="2"/>
      <c r="Z722" s="3"/>
      <c r="AA722" s="3"/>
    </row>
    <row r="723" spans="2:27">
      <c r="B723" s="40"/>
      <c r="N723" s="2"/>
      <c r="O723" s="2"/>
      <c r="T723" s="2"/>
      <c r="U723" s="2"/>
      <c r="Z723" s="3"/>
      <c r="AA723" s="3"/>
    </row>
    <row r="724" spans="2:27">
      <c r="B724" s="40"/>
      <c r="N724" s="2"/>
      <c r="O724" s="2"/>
      <c r="T724" s="2"/>
      <c r="U724" s="2"/>
      <c r="Z724" s="3"/>
      <c r="AA724" s="3"/>
    </row>
    <row r="725" spans="2:27">
      <c r="B725" s="40"/>
      <c r="N725" s="2"/>
      <c r="O725" s="2"/>
      <c r="T725" s="2"/>
      <c r="U725" s="2"/>
      <c r="Z725" s="3"/>
      <c r="AA725" s="3"/>
    </row>
    <row r="726" spans="2:27">
      <c r="B726" s="40"/>
      <c r="N726" s="2"/>
      <c r="O726" s="2"/>
      <c r="T726" s="2"/>
      <c r="U726" s="2"/>
      <c r="Z726" s="3"/>
      <c r="AA726" s="3"/>
    </row>
    <row r="727" spans="2:27">
      <c r="B727" s="40"/>
      <c r="N727" s="2"/>
      <c r="O727" s="2"/>
      <c r="T727" s="2"/>
      <c r="U727" s="2"/>
      <c r="Z727" s="3"/>
      <c r="AA727" s="3"/>
    </row>
    <row r="728" spans="2:27">
      <c r="B728" s="40"/>
      <c r="N728" s="2"/>
      <c r="O728" s="2"/>
      <c r="T728" s="2"/>
      <c r="U728" s="2"/>
      <c r="Z728" s="3"/>
      <c r="AA728" s="3"/>
    </row>
    <row r="729" spans="2:27">
      <c r="B729" s="40"/>
      <c r="N729" s="2"/>
      <c r="O729" s="2"/>
      <c r="T729" s="2"/>
      <c r="U729" s="2"/>
      <c r="Z729" s="3"/>
      <c r="AA729" s="3"/>
    </row>
    <row r="730" spans="2:27">
      <c r="B730" s="40"/>
      <c r="N730" s="2"/>
      <c r="O730" s="2"/>
      <c r="T730" s="2"/>
      <c r="U730" s="2"/>
      <c r="Z730" s="3"/>
      <c r="AA730" s="3"/>
    </row>
    <row r="731" spans="2:27">
      <c r="B731" s="40"/>
      <c r="N731" s="2"/>
      <c r="O731" s="2"/>
      <c r="T731" s="2"/>
      <c r="U731" s="2"/>
      <c r="Z731" s="3"/>
      <c r="AA731" s="3"/>
    </row>
    <row r="732" spans="2:27">
      <c r="B732" s="40"/>
      <c r="N732" s="2"/>
      <c r="O732" s="2"/>
      <c r="T732" s="2"/>
      <c r="U732" s="2"/>
      <c r="Z732" s="3"/>
      <c r="AA732" s="3"/>
    </row>
    <row r="733" spans="2:27">
      <c r="B733" s="40"/>
      <c r="N733" s="2"/>
      <c r="O733" s="2"/>
      <c r="T733" s="2"/>
      <c r="U733" s="2"/>
      <c r="Z733" s="3"/>
      <c r="AA733" s="3"/>
    </row>
    <row r="734" spans="2:27">
      <c r="B734" s="40"/>
      <c r="N734" s="2"/>
      <c r="O734" s="2"/>
      <c r="T734" s="2"/>
      <c r="U734" s="2"/>
      <c r="Z734" s="3"/>
      <c r="AA734" s="3"/>
    </row>
    <row r="735" spans="2:27">
      <c r="B735" s="40"/>
      <c r="N735" s="2"/>
      <c r="O735" s="2"/>
      <c r="T735" s="2"/>
      <c r="U735" s="2"/>
      <c r="Z735" s="3"/>
      <c r="AA735" s="3"/>
    </row>
    <row r="736" spans="2:27">
      <c r="B736" s="40"/>
      <c r="N736" s="2"/>
      <c r="O736" s="2"/>
      <c r="T736" s="2"/>
      <c r="U736" s="2"/>
      <c r="Z736" s="3"/>
      <c r="AA736" s="3"/>
    </row>
    <row r="737" spans="2:27">
      <c r="B737" s="40"/>
      <c r="N737" s="2"/>
      <c r="O737" s="2"/>
      <c r="T737" s="2"/>
      <c r="U737" s="2"/>
      <c r="Z737" s="3"/>
      <c r="AA737" s="3"/>
    </row>
    <row r="738" spans="2:27">
      <c r="B738" s="40"/>
      <c r="N738" s="2"/>
      <c r="O738" s="2"/>
      <c r="T738" s="2"/>
      <c r="U738" s="2"/>
      <c r="Z738" s="3"/>
      <c r="AA738" s="3"/>
    </row>
    <row r="739" spans="2:27">
      <c r="B739" s="40"/>
      <c r="N739" s="2"/>
      <c r="O739" s="2"/>
      <c r="T739" s="2"/>
      <c r="U739" s="2"/>
      <c r="Z739" s="3"/>
      <c r="AA739" s="3"/>
    </row>
    <row r="740" spans="2:27">
      <c r="B740" s="40"/>
      <c r="N740" s="2"/>
      <c r="O740" s="2"/>
      <c r="T740" s="2"/>
      <c r="U740" s="2"/>
      <c r="Z740" s="3"/>
      <c r="AA740" s="3"/>
    </row>
    <row r="741" spans="2:27">
      <c r="B741" s="40"/>
      <c r="N741" s="2"/>
      <c r="O741" s="2"/>
      <c r="T741" s="2"/>
      <c r="U741" s="2"/>
      <c r="Z741" s="3"/>
      <c r="AA741" s="3"/>
    </row>
    <row r="742" spans="2:27">
      <c r="B742" s="40"/>
      <c r="N742" s="2"/>
      <c r="O742" s="2"/>
      <c r="T742" s="2"/>
      <c r="U742" s="2"/>
      <c r="Z742" s="3"/>
      <c r="AA742" s="3"/>
    </row>
    <row r="743" spans="2:27">
      <c r="B743" s="40"/>
      <c r="N743" s="2"/>
      <c r="O743" s="2"/>
      <c r="T743" s="2"/>
      <c r="U743" s="2"/>
      <c r="Z743" s="3"/>
      <c r="AA743" s="3"/>
    </row>
    <row r="744" spans="2:27">
      <c r="B744" s="40"/>
      <c r="N744" s="2"/>
      <c r="O744" s="2"/>
      <c r="T744" s="2"/>
      <c r="U744" s="2"/>
      <c r="Z744" s="3"/>
      <c r="AA744" s="3"/>
    </row>
    <row r="745" spans="2:27">
      <c r="B745" s="40"/>
      <c r="N745" s="2"/>
      <c r="O745" s="2"/>
      <c r="T745" s="2"/>
      <c r="U745" s="2"/>
      <c r="Z745" s="3"/>
      <c r="AA745" s="3"/>
    </row>
    <row r="746" spans="2:27">
      <c r="B746" s="40"/>
      <c r="N746" s="2"/>
      <c r="O746" s="2"/>
      <c r="T746" s="2"/>
      <c r="U746" s="2"/>
      <c r="Z746" s="3"/>
      <c r="AA746" s="3"/>
    </row>
    <row r="747" spans="2:27">
      <c r="B747" s="40"/>
      <c r="N747" s="2"/>
      <c r="O747" s="2"/>
      <c r="T747" s="2"/>
      <c r="U747" s="2"/>
      <c r="Z747" s="3"/>
      <c r="AA747" s="3"/>
    </row>
    <row r="748" spans="2:27">
      <c r="B748" s="40"/>
      <c r="N748" s="2"/>
      <c r="O748" s="2"/>
      <c r="T748" s="2"/>
      <c r="U748" s="2"/>
      <c r="Z748" s="3"/>
      <c r="AA748" s="3"/>
    </row>
    <row r="749" spans="2:27">
      <c r="B749" s="40"/>
      <c r="N749" s="2"/>
      <c r="O749" s="2"/>
      <c r="T749" s="2"/>
      <c r="U749" s="2"/>
      <c r="Z749" s="3"/>
      <c r="AA749" s="3"/>
    </row>
    <row r="750" spans="2:27">
      <c r="B750" s="40"/>
      <c r="N750" s="2"/>
      <c r="O750" s="2"/>
      <c r="T750" s="2"/>
      <c r="U750" s="2"/>
      <c r="Z750" s="3"/>
      <c r="AA750" s="3"/>
    </row>
    <row r="751" spans="2:27">
      <c r="B751" s="40"/>
      <c r="N751" s="2"/>
      <c r="O751" s="2"/>
      <c r="T751" s="2"/>
      <c r="U751" s="2"/>
      <c r="Z751" s="3"/>
      <c r="AA751" s="3"/>
    </row>
    <row r="752" spans="2:27">
      <c r="B752" s="40"/>
      <c r="N752" s="2"/>
      <c r="O752" s="2"/>
      <c r="T752" s="2"/>
      <c r="U752" s="2"/>
      <c r="Z752" s="3"/>
      <c r="AA752" s="3"/>
    </row>
    <row r="753" spans="2:27">
      <c r="B753" s="40"/>
      <c r="N753" s="2"/>
      <c r="O753" s="2"/>
      <c r="T753" s="2"/>
      <c r="U753" s="2"/>
      <c r="Z753" s="3"/>
      <c r="AA753" s="3"/>
    </row>
    <row r="754" spans="2:27">
      <c r="B754" s="40"/>
      <c r="N754" s="2"/>
      <c r="O754" s="2"/>
      <c r="T754" s="2"/>
      <c r="U754" s="2"/>
      <c r="Z754" s="3"/>
      <c r="AA754" s="3"/>
    </row>
    <row r="755" spans="2:27">
      <c r="B755" s="40"/>
      <c r="N755" s="2"/>
      <c r="O755" s="2"/>
      <c r="T755" s="2"/>
      <c r="U755" s="2"/>
      <c r="Z755" s="3"/>
      <c r="AA755" s="3"/>
    </row>
    <row r="756" spans="2:27">
      <c r="B756" s="40"/>
      <c r="N756" s="2"/>
      <c r="O756" s="2"/>
      <c r="T756" s="2"/>
      <c r="U756" s="2"/>
      <c r="Z756" s="3"/>
      <c r="AA756" s="3"/>
    </row>
    <row r="757" spans="2:27">
      <c r="B757" s="40"/>
      <c r="N757" s="2"/>
      <c r="O757" s="2"/>
      <c r="T757" s="2"/>
      <c r="U757" s="2"/>
      <c r="Z757" s="3"/>
      <c r="AA757" s="3"/>
    </row>
    <row r="758" spans="2:27">
      <c r="B758" s="40"/>
      <c r="N758" s="2"/>
      <c r="O758" s="2"/>
      <c r="T758" s="2"/>
      <c r="U758" s="2"/>
      <c r="Z758" s="3"/>
      <c r="AA758" s="3"/>
    </row>
    <row r="759" spans="2:27">
      <c r="B759" s="40"/>
      <c r="N759" s="2"/>
      <c r="O759" s="2"/>
      <c r="T759" s="2"/>
      <c r="U759" s="2"/>
      <c r="Z759" s="3"/>
      <c r="AA759" s="3"/>
    </row>
    <row r="760" spans="2:27">
      <c r="B760" s="40"/>
      <c r="N760" s="2"/>
      <c r="O760" s="2"/>
      <c r="T760" s="2"/>
      <c r="U760" s="2"/>
      <c r="Z760" s="3"/>
      <c r="AA760" s="3"/>
    </row>
    <row r="761" spans="2:27">
      <c r="B761" s="40"/>
      <c r="N761" s="2"/>
      <c r="O761" s="2"/>
      <c r="T761" s="2"/>
      <c r="U761" s="2"/>
      <c r="Z761" s="3"/>
      <c r="AA761" s="3"/>
    </row>
    <row r="762" spans="2:27">
      <c r="B762" s="40"/>
      <c r="N762" s="2"/>
      <c r="O762" s="2"/>
      <c r="T762" s="2"/>
      <c r="U762" s="2"/>
      <c r="Z762" s="3"/>
      <c r="AA762" s="3"/>
    </row>
    <row r="763" spans="2:27">
      <c r="B763" s="40"/>
      <c r="N763" s="2"/>
      <c r="O763" s="2"/>
      <c r="T763" s="2"/>
      <c r="U763" s="2"/>
      <c r="Z763" s="3"/>
      <c r="AA763" s="3"/>
    </row>
    <row r="764" spans="2:27">
      <c r="B764" s="40"/>
      <c r="N764" s="2"/>
      <c r="O764" s="2"/>
      <c r="T764" s="2"/>
      <c r="U764" s="2"/>
      <c r="Z764" s="3"/>
      <c r="AA764" s="3"/>
    </row>
    <row r="765" spans="2:27">
      <c r="B765" s="40"/>
      <c r="N765" s="2"/>
      <c r="O765" s="2"/>
      <c r="T765" s="2"/>
      <c r="U765" s="2"/>
      <c r="Z765" s="3"/>
      <c r="AA765" s="3"/>
    </row>
    <row r="766" spans="2:27">
      <c r="B766" s="40"/>
      <c r="N766" s="2"/>
      <c r="O766" s="2"/>
      <c r="T766" s="2"/>
      <c r="U766" s="2"/>
      <c r="Z766" s="3"/>
      <c r="AA766" s="3"/>
    </row>
    <row r="767" spans="2:27">
      <c r="B767" s="40"/>
      <c r="N767" s="2"/>
      <c r="O767" s="2"/>
      <c r="T767" s="2"/>
      <c r="U767" s="2"/>
      <c r="Z767" s="3"/>
      <c r="AA767" s="3"/>
    </row>
    <row r="768" spans="2:27">
      <c r="B768" s="40"/>
      <c r="N768" s="2"/>
      <c r="O768" s="2"/>
      <c r="T768" s="2"/>
      <c r="U768" s="2"/>
      <c r="Z768" s="3"/>
      <c r="AA768" s="3"/>
    </row>
    <row r="769" spans="2:27">
      <c r="B769" s="40"/>
      <c r="N769" s="2"/>
      <c r="O769" s="2"/>
      <c r="T769" s="2"/>
      <c r="U769" s="2"/>
      <c r="Z769" s="3"/>
      <c r="AA769" s="3"/>
    </row>
    <row r="770" spans="2:27">
      <c r="B770" s="40"/>
      <c r="N770" s="2"/>
      <c r="O770" s="2"/>
      <c r="T770" s="2"/>
      <c r="U770" s="2"/>
      <c r="Z770" s="3"/>
      <c r="AA770" s="3"/>
    </row>
    <row r="771" spans="2:27">
      <c r="B771" s="40"/>
      <c r="N771" s="2"/>
      <c r="O771" s="2"/>
      <c r="T771" s="2"/>
      <c r="U771" s="2"/>
      <c r="Z771" s="3"/>
      <c r="AA771" s="3"/>
    </row>
    <row r="772" spans="2:27">
      <c r="B772" s="40"/>
      <c r="N772" s="2"/>
      <c r="O772" s="2"/>
      <c r="T772" s="2"/>
      <c r="U772" s="2"/>
      <c r="Z772" s="3"/>
      <c r="AA772" s="3"/>
    </row>
    <row r="773" spans="2:27">
      <c r="B773" s="40"/>
      <c r="N773" s="2"/>
      <c r="O773" s="2"/>
      <c r="T773" s="2"/>
      <c r="U773" s="2"/>
      <c r="Z773" s="3"/>
      <c r="AA773" s="3"/>
    </row>
    <row r="774" spans="2:27">
      <c r="B774" s="40"/>
      <c r="N774" s="2"/>
      <c r="O774" s="2"/>
      <c r="T774" s="2"/>
      <c r="U774" s="2"/>
      <c r="Z774" s="3"/>
      <c r="AA774" s="3"/>
    </row>
    <row r="775" spans="2:27">
      <c r="B775" s="40"/>
      <c r="N775" s="2"/>
      <c r="O775" s="2"/>
      <c r="T775" s="2"/>
      <c r="U775" s="2"/>
      <c r="Z775" s="3"/>
      <c r="AA775" s="3"/>
    </row>
    <row r="776" spans="2:27">
      <c r="B776" s="40"/>
      <c r="N776" s="2"/>
      <c r="O776" s="2"/>
      <c r="T776" s="2"/>
      <c r="U776" s="2"/>
      <c r="Z776" s="3"/>
      <c r="AA776" s="3"/>
    </row>
    <row r="777" spans="2:27">
      <c r="B777" s="40"/>
      <c r="N777" s="2"/>
      <c r="O777" s="2"/>
      <c r="T777" s="2"/>
      <c r="U777" s="2"/>
      <c r="Z777" s="3"/>
      <c r="AA777" s="3"/>
    </row>
    <row r="778" spans="2:27">
      <c r="B778" s="40"/>
      <c r="N778" s="2"/>
      <c r="O778" s="2"/>
      <c r="T778" s="2"/>
      <c r="U778" s="2"/>
      <c r="Z778" s="3"/>
      <c r="AA778" s="3"/>
    </row>
    <row r="779" spans="2:27">
      <c r="B779" s="40"/>
      <c r="N779" s="2"/>
      <c r="O779" s="2"/>
      <c r="T779" s="2"/>
      <c r="U779" s="2"/>
      <c r="Z779" s="3"/>
      <c r="AA779" s="3"/>
    </row>
    <row r="780" spans="2:27">
      <c r="B780" s="40"/>
      <c r="N780" s="2"/>
      <c r="O780" s="2"/>
      <c r="T780" s="2"/>
      <c r="U780" s="2"/>
      <c r="Z780" s="3"/>
      <c r="AA780" s="3"/>
    </row>
    <row r="781" spans="2:27">
      <c r="B781" s="40"/>
      <c r="N781" s="2"/>
      <c r="O781" s="2"/>
      <c r="T781" s="2"/>
      <c r="U781" s="2"/>
      <c r="Z781" s="3"/>
      <c r="AA781" s="3"/>
    </row>
    <row r="782" spans="2:27">
      <c r="B782" s="40"/>
      <c r="N782" s="2"/>
      <c r="O782" s="2"/>
      <c r="T782" s="2"/>
      <c r="U782" s="2"/>
      <c r="Z782" s="3"/>
      <c r="AA782" s="3"/>
    </row>
    <row r="783" spans="2:27">
      <c r="B783" s="40"/>
      <c r="N783" s="2"/>
      <c r="O783" s="2"/>
      <c r="T783" s="2"/>
      <c r="U783" s="2"/>
      <c r="Z783" s="3"/>
      <c r="AA783" s="3"/>
    </row>
    <row r="784" spans="2:27">
      <c r="B784" s="40"/>
      <c r="N784" s="2"/>
      <c r="O784" s="2"/>
      <c r="T784" s="2"/>
      <c r="U784" s="2"/>
      <c r="Z784" s="3"/>
      <c r="AA784" s="3"/>
    </row>
    <row r="785" spans="2:27">
      <c r="B785" s="40"/>
      <c r="N785" s="2"/>
      <c r="O785" s="2"/>
      <c r="T785" s="2"/>
      <c r="U785" s="2"/>
      <c r="Z785" s="3"/>
      <c r="AA785" s="3"/>
    </row>
    <row r="786" spans="2:27">
      <c r="B786" s="40"/>
      <c r="N786" s="2"/>
      <c r="O786" s="2"/>
      <c r="T786" s="2"/>
      <c r="U786" s="2"/>
      <c r="Z786" s="3"/>
      <c r="AA786" s="3"/>
    </row>
    <row r="787" spans="2:27">
      <c r="B787" s="40"/>
      <c r="N787" s="2"/>
      <c r="O787" s="2"/>
      <c r="T787" s="2"/>
      <c r="U787" s="2"/>
      <c r="Z787" s="3"/>
      <c r="AA787" s="3"/>
    </row>
    <row r="788" spans="2:27">
      <c r="B788" s="40"/>
      <c r="N788" s="2"/>
      <c r="O788" s="2"/>
      <c r="T788" s="2"/>
      <c r="U788" s="2"/>
      <c r="Z788" s="3"/>
      <c r="AA788" s="3"/>
    </row>
    <row r="789" spans="2:27">
      <c r="B789" s="40"/>
      <c r="N789" s="2"/>
      <c r="O789" s="2"/>
      <c r="T789" s="2"/>
      <c r="U789" s="2"/>
      <c r="Z789" s="3"/>
      <c r="AA789" s="3"/>
    </row>
    <row r="790" spans="2:27">
      <c r="B790" s="40"/>
      <c r="N790" s="2"/>
      <c r="O790" s="2"/>
      <c r="T790" s="2"/>
      <c r="U790" s="2"/>
      <c r="Z790" s="3"/>
      <c r="AA790" s="3"/>
    </row>
    <row r="791" spans="2:27">
      <c r="B791" s="40"/>
      <c r="N791" s="2"/>
      <c r="O791" s="2"/>
      <c r="T791" s="2"/>
      <c r="U791" s="2"/>
      <c r="Z791" s="3"/>
      <c r="AA791" s="3"/>
    </row>
    <row r="792" spans="2:27">
      <c r="B792" s="40"/>
      <c r="N792" s="2"/>
      <c r="O792" s="2"/>
      <c r="T792" s="2"/>
      <c r="U792" s="2"/>
      <c r="Z792" s="3"/>
      <c r="AA792" s="3"/>
    </row>
    <row r="793" spans="2:27">
      <c r="B793" s="40"/>
      <c r="N793" s="2"/>
      <c r="O793" s="2"/>
      <c r="T793" s="2"/>
      <c r="U793" s="2"/>
      <c r="Z793" s="3"/>
      <c r="AA793" s="3"/>
    </row>
    <row r="794" spans="2:27">
      <c r="B794" s="40"/>
      <c r="N794" s="2"/>
      <c r="O794" s="2"/>
      <c r="T794" s="2"/>
      <c r="U794" s="2"/>
      <c r="Z794" s="3"/>
      <c r="AA794" s="3"/>
    </row>
    <row r="795" spans="2:27">
      <c r="B795" s="40"/>
      <c r="N795" s="2"/>
      <c r="O795" s="2"/>
      <c r="T795" s="2"/>
      <c r="U795" s="2"/>
      <c r="Z795" s="3"/>
      <c r="AA795" s="3"/>
    </row>
    <row r="796" spans="2:27">
      <c r="B796" s="40"/>
      <c r="N796" s="2"/>
      <c r="O796" s="2"/>
      <c r="T796" s="2"/>
      <c r="U796" s="2"/>
      <c r="Z796" s="3"/>
      <c r="AA796" s="3"/>
    </row>
    <row r="797" spans="2:27">
      <c r="B797" s="40"/>
      <c r="N797" s="2"/>
      <c r="O797" s="2"/>
      <c r="T797" s="2"/>
      <c r="U797" s="2"/>
      <c r="Z797" s="3"/>
      <c r="AA797" s="3"/>
    </row>
    <row r="798" spans="2:27">
      <c r="B798" s="40"/>
      <c r="N798" s="2"/>
      <c r="O798" s="2"/>
      <c r="T798" s="2"/>
      <c r="U798" s="2"/>
      <c r="Z798" s="3"/>
      <c r="AA798" s="3"/>
    </row>
    <row r="799" spans="2:27">
      <c r="B799" s="40"/>
      <c r="N799" s="2"/>
      <c r="O799" s="2"/>
      <c r="T799" s="2"/>
      <c r="U799" s="2"/>
      <c r="Z799" s="3"/>
      <c r="AA799" s="3"/>
    </row>
    <row r="800" spans="2:27">
      <c r="B800" s="40"/>
      <c r="N800" s="2"/>
      <c r="O800" s="2"/>
      <c r="T800" s="2"/>
      <c r="U800" s="2"/>
      <c r="Z800" s="3"/>
      <c r="AA800" s="3"/>
    </row>
    <row r="801" spans="2:27">
      <c r="B801" s="40"/>
      <c r="N801" s="2"/>
      <c r="O801" s="2"/>
      <c r="T801" s="2"/>
      <c r="U801" s="2"/>
      <c r="Z801" s="3"/>
      <c r="AA801" s="3"/>
    </row>
    <row r="802" spans="2:27">
      <c r="B802" s="40"/>
      <c r="N802" s="2"/>
      <c r="O802" s="2"/>
      <c r="T802" s="2"/>
      <c r="U802" s="2"/>
      <c r="Z802" s="3"/>
      <c r="AA802" s="3"/>
    </row>
    <row r="803" spans="2:27">
      <c r="B803" s="40"/>
      <c r="N803" s="2"/>
      <c r="O803" s="2"/>
      <c r="T803" s="2"/>
      <c r="U803" s="2"/>
      <c r="Z803" s="3"/>
      <c r="AA803" s="3"/>
    </row>
    <row r="804" spans="2:27">
      <c r="B804" s="40"/>
      <c r="N804" s="2"/>
      <c r="O804" s="2"/>
      <c r="T804" s="2"/>
      <c r="U804" s="2"/>
      <c r="Z804" s="3"/>
      <c r="AA804" s="3"/>
    </row>
    <row r="805" spans="2:27">
      <c r="B805" s="40"/>
      <c r="N805" s="2"/>
      <c r="O805" s="2"/>
      <c r="T805" s="2"/>
      <c r="U805" s="2"/>
      <c r="Z805" s="3"/>
      <c r="AA805" s="3"/>
    </row>
    <row r="806" spans="2:27">
      <c r="B806" s="40"/>
      <c r="N806" s="2"/>
      <c r="O806" s="2"/>
      <c r="T806" s="2"/>
      <c r="U806" s="2"/>
      <c r="Z806" s="3"/>
      <c r="AA806" s="3"/>
    </row>
    <row r="807" spans="2:27">
      <c r="B807" s="40"/>
      <c r="N807" s="2"/>
      <c r="O807" s="2"/>
      <c r="T807" s="2"/>
      <c r="U807" s="2"/>
      <c r="Z807" s="3"/>
      <c r="AA807" s="3"/>
    </row>
    <row r="808" spans="2:27">
      <c r="B808" s="40"/>
      <c r="N808" s="2"/>
      <c r="O808" s="2"/>
      <c r="T808" s="2"/>
      <c r="U808" s="2"/>
      <c r="Z808" s="3"/>
      <c r="AA808" s="3"/>
    </row>
    <row r="809" spans="2:27">
      <c r="B809" s="40"/>
      <c r="N809" s="2"/>
      <c r="O809" s="2"/>
      <c r="T809" s="2"/>
      <c r="U809" s="2"/>
      <c r="Z809" s="3"/>
      <c r="AA809" s="3"/>
    </row>
    <row r="810" spans="2:27">
      <c r="B810" s="40"/>
      <c r="N810" s="2"/>
      <c r="O810" s="2"/>
      <c r="T810" s="2"/>
      <c r="U810" s="2"/>
      <c r="Z810" s="3"/>
      <c r="AA810" s="3"/>
    </row>
    <row r="811" spans="2:27">
      <c r="B811" s="40"/>
      <c r="N811" s="2"/>
      <c r="O811" s="2"/>
      <c r="T811" s="2"/>
      <c r="U811" s="2"/>
      <c r="Z811" s="3"/>
      <c r="AA811" s="3"/>
    </row>
    <row r="812" spans="2:27">
      <c r="B812" s="40"/>
      <c r="N812" s="2"/>
      <c r="O812" s="2"/>
      <c r="T812" s="2"/>
      <c r="U812" s="2"/>
      <c r="Z812" s="3"/>
      <c r="AA812" s="3"/>
    </row>
    <row r="813" spans="2:27">
      <c r="B813" s="40"/>
      <c r="N813" s="2"/>
      <c r="O813" s="2"/>
      <c r="T813" s="2"/>
      <c r="U813" s="2"/>
      <c r="Z813" s="3"/>
      <c r="AA813" s="3"/>
    </row>
    <row r="814" spans="2:27">
      <c r="B814" s="40"/>
      <c r="N814" s="2"/>
      <c r="O814" s="2"/>
      <c r="T814" s="2"/>
      <c r="U814" s="2"/>
      <c r="Z814" s="3"/>
      <c r="AA814" s="3"/>
    </row>
    <row r="815" spans="2:27">
      <c r="B815" s="40"/>
      <c r="N815" s="2"/>
      <c r="O815" s="2"/>
      <c r="T815" s="2"/>
      <c r="U815" s="2"/>
      <c r="Z815" s="3"/>
      <c r="AA815" s="3"/>
    </row>
    <row r="816" spans="2:27">
      <c r="B816" s="40"/>
      <c r="N816" s="2"/>
      <c r="O816" s="2"/>
      <c r="T816" s="2"/>
      <c r="U816" s="2"/>
      <c r="Z816" s="3"/>
      <c r="AA816" s="3"/>
    </row>
    <row r="817" spans="2:27">
      <c r="B817" s="40"/>
      <c r="N817" s="2"/>
      <c r="O817" s="2"/>
      <c r="T817" s="2"/>
      <c r="U817" s="2"/>
      <c r="Z817" s="3"/>
      <c r="AA817" s="3"/>
    </row>
    <row r="818" spans="2:27">
      <c r="B818" s="40"/>
      <c r="N818" s="2"/>
      <c r="O818" s="2"/>
      <c r="T818" s="2"/>
      <c r="U818" s="2"/>
      <c r="Z818" s="3"/>
      <c r="AA818" s="3"/>
    </row>
    <row r="819" spans="2:27">
      <c r="B819" s="40"/>
      <c r="N819" s="2"/>
      <c r="O819" s="2"/>
      <c r="T819" s="2"/>
      <c r="U819" s="2"/>
      <c r="Z819" s="3"/>
      <c r="AA819" s="3"/>
    </row>
    <row r="820" spans="2:27">
      <c r="B820" s="40"/>
      <c r="N820" s="2"/>
      <c r="O820" s="2"/>
      <c r="T820" s="2"/>
      <c r="U820" s="2"/>
      <c r="Z820" s="3"/>
      <c r="AA820" s="3"/>
    </row>
    <row r="821" spans="2:27">
      <c r="B821" s="40"/>
      <c r="N821" s="2"/>
      <c r="O821" s="2"/>
      <c r="T821" s="2"/>
      <c r="U821" s="2"/>
      <c r="Z821" s="3"/>
      <c r="AA821" s="3"/>
    </row>
    <row r="822" spans="2:27">
      <c r="B822" s="40"/>
      <c r="N822" s="2"/>
      <c r="O822" s="2"/>
      <c r="T822" s="2"/>
      <c r="U822" s="2"/>
      <c r="Z822" s="3"/>
      <c r="AA822" s="3"/>
    </row>
    <row r="823" spans="2:27">
      <c r="B823" s="40"/>
      <c r="N823" s="2"/>
      <c r="O823" s="2"/>
      <c r="T823" s="2"/>
      <c r="U823" s="2"/>
      <c r="Z823" s="3"/>
      <c r="AA823" s="3"/>
    </row>
    <row r="824" spans="2:27">
      <c r="B824" s="40"/>
      <c r="N824" s="2"/>
      <c r="O824" s="2"/>
      <c r="T824" s="2"/>
      <c r="U824" s="2"/>
      <c r="Z824" s="3"/>
      <c r="AA824" s="3"/>
    </row>
    <row r="825" spans="2:27">
      <c r="B825" s="40"/>
      <c r="N825" s="2"/>
      <c r="O825" s="2"/>
      <c r="T825" s="2"/>
      <c r="U825" s="2"/>
      <c r="Z825" s="3"/>
      <c r="AA825" s="3"/>
    </row>
    <row r="826" spans="2:27">
      <c r="B826" s="40"/>
      <c r="N826" s="2"/>
      <c r="O826" s="2"/>
      <c r="T826" s="2"/>
      <c r="U826" s="2"/>
      <c r="Z826" s="3"/>
      <c r="AA826" s="3"/>
    </row>
    <row r="827" spans="2:27">
      <c r="B827" s="40"/>
      <c r="N827" s="2"/>
      <c r="O827" s="2"/>
      <c r="T827" s="2"/>
      <c r="U827" s="2"/>
      <c r="Z827" s="3"/>
      <c r="AA827" s="3"/>
    </row>
    <row r="828" spans="2:27">
      <c r="B828" s="40"/>
      <c r="N828" s="2"/>
      <c r="O828" s="2"/>
      <c r="T828" s="2"/>
      <c r="U828" s="2"/>
      <c r="Z828" s="3"/>
      <c r="AA828" s="3"/>
    </row>
    <row r="829" spans="2:27">
      <c r="B829" s="40"/>
      <c r="N829" s="2"/>
      <c r="O829" s="2"/>
      <c r="T829" s="2"/>
      <c r="U829" s="2"/>
      <c r="Z829" s="3"/>
      <c r="AA829" s="3"/>
    </row>
    <row r="830" spans="2:27">
      <c r="B830" s="40"/>
      <c r="N830" s="2"/>
      <c r="O830" s="2"/>
      <c r="T830" s="2"/>
      <c r="U830" s="2"/>
      <c r="Z830" s="3"/>
      <c r="AA830" s="3"/>
    </row>
    <row r="831" spans="2:27">
      <c r="B831" s="40"/>
      <c r="N831" s="2"/>
      <c r="O831" s="2"/>
      <c r="T831" s="2"/>
      <c r="U831" s="2"/>
      <c r="Z831" s="3"/>
      <c r="AA831" s="3"/>
    </row>
    <row r="832" spans="2:27">
      <c r="B832" s="40"/>
      <c r="N832" s="2"/>
      <c r="O832" s="2"/>
      <c r="T832" s="2"/>
      <c r="U832" s="2"/>
      <c r="Z832" s="3"/>
      <c r="AA832" s="3"/>
    </row>
    <row r="833" spans="2:27">
      <c r="B833" s="40"/>
      <c r="N833" s="2"/>
      <c r="O833" s="2"/>
      <c r="T833" s="2"/>
      <c r="U833" s="2"/>
      <c r="Z833" s="3"/>
      <c r="AA833" s="3"/>
    </row>
    <row r="834" spans="2:27">
      <c r="B834" s="40"/>
      <c r="N834" s="2"/>
      <c r="O834" s="2"/>
      <c r="T834" s="2"/>
      <c r="U834" s="2"/>
      <c r="Z834" s="3"/>
      <c r="AA834" s="3"/>
    </row>
    <row r="835" spans="2:27">
      <c r="B835" s="40"/>
      <c r="N835" s="2"/>
      <c r="O835" s="2"/>
      <c r="T835" s="2"/>
      <c r="U835" s="2"/>
      <c r="Z835" s="3"/>
      <c r="AA835" s="3"/>
    </row>
    <row r="836" spans="2:27">
      <c r="B836" s="40"/>
      <c r="N836" s="2"/>
      <c r="O836" s="2"/>
      <c r="T836" s="2"/>
      <c r="U836" s="2"/>
      <c r="Z836" s="3"/>
      <c r="AA836" s="3"/>
    </row>
    <row r="837" spans="2:27">
      <c r="B837" s="40"/>
      <c r="N837" s="2"/>
      <c r="O837" s="2"/>
      <c r="T837" s="2"/>
      <c r="U837" s="2"/>
      <c r="Z837" s="3"/>
      <c r="AA837" s="3"/>
    </row>
    <row r="838" spans="2:27">
      <c r="B838" s="40"/>
      <c r="N838" s="2"/>
      <c r="O838" s="2"/>
      <c r="T838" s="2"/>
      <c r="U838" s="2"/>
      <c r="Z838" s="3"/>
      <c r="AA838" s="3"/>
    </row>
    <row r="839" spans="2:27">
      <c r="B839" s="40"/>
      <c r="N839" s="2"/>
      <c r="O839" s="2"/>
      <c r="T839" s="2"/>
      <c r="U839" s="2"/>
      <c r="Z839" s="3"/>
      <c r="AA839" s="3"/>
    </row>
    <row r="840" spans="2:27">
      <c r="B840" s="40"/>
      <c r="N840" s="2"/>
      <c r="O840" s="2"/>
      <c r="T840" s="2"/>
      <c r="U840" s="2"/>
      <c r="Z840" s="3"/>
      <c r="AA840" s="3"/>
    </row>
    <row r="841" spans="2:27">
      <c r="B841" s="40"/>
      <c r="N841" s="2"/>
      <c r="O841" s="2"/>
      <c r="T841" s="2"/>
      <c r="U841" s="2"/>
      <c r="Z841" s="3"/>
      <c r="AA841" s="3"/>
    </row>
    <row r="842" spans="2:27">
      <c r="B842" s="40"/>
      <c r="N842" s="2"/>
      <c r="O842" s="2"/>
      <c r="T842" s="2"/>
      <c r="U842" s="2"/>
      <c r="Z842" s="3"/>
      <c r="AA842" s="3"/>
    </row>
    <row r="843" spans="2:27">
      <c r="B843" s="40"/>
      <c r="N843" s="2"/>
      <c r="O843" s="2"/>
      <c r="T843" s="2"/>
      <c r="U843" s="2"/>
      <c r="Z843" s="3"/>
      <c r="AA843" s="3"/>
    </row>
    <row r="844" spans="2:27">
      <c r="B844" s="40"/>
      <c r="N844" s="2"/>
      <c r="O844" s="2"/>
      <c r="T844" s="2"/>
      <c r="U844" s="2"/>
      <c r="Z844" s="3"/>
      <c r="AA844" s="3"/>
    </row>
    <row r="845" spans="2:27">
      <c r="B845" s="40"/>
      <c r="N845" s="2"/>
      <c r="O845" s="2"/>
      <c r="T845" s="2"/>
      <c r="U845" s="2"/>
      <c r="Z845" s="3"/>
      <c r="AA845" s="3"/>
    </row>
    <row r="846" spans="2:27">
      <c r="B846" s="40"/>
      <c r="N846" s="2"/>
      <c r="O846" s="2"/>
      <c r="T846" s="2"/>
      <c r="U846" s="2"/>
      <c r="Z846" s="3"/>
      <c r="AA846" s="3"/>
    </row>
    <row r="847" spans="2:27">
      <c r="B847" s="40"/>
      <c r="N847" s="2"/>
      <c r="O847" s="2"/>
      <c r="T847" s="2"/>
      <c r="U847" s="2"/>
      <c r="Z847" s="3"/>
      <c r="AA847" s="3"/>
    </row>
    <row r="848" spans="2:27">
      <c r="B848" s="40"/>
      <c r="N848" s="2"/>
      <c r="O848" s="2"/>
      <c r="T848" s="2"/>
      <c r="U848" s="2"/>
      <c r="Z848" s="3"/>
      <c r="AA848" s="3"/>
    </row>
    <row r="849" spans="2:27">
      <c r="B849" s="40"/>
      <c r="N849" s="2"/>
      <c r="O849" s="2"/>
      <c r="T849" s="2"/>
      <c r="U849" s="2"/>
      <c r="Z849" s="3"/>
      <c r="AA849" s="3"/>
    </row>
    <row r="850" spans="2:27">
      <c r="B850" s="40"/>
      <c r="N850" s="2"/>
      <c r="O850" s="2"/>
      <c r="T850" s="2"/>
      <c r="U850" s="2"/>
      <c r="Z850" s="3"/>
      <c r="AA850" s="3"/>
    </row>
    <row r="851" spans="2:27">
      <c r="B851" s="40"/>
      <c r="N851" s="2"/>
      <c r="O851" s="2"/>
      <c r="T851" s="2"/>
      <c r="U851" s="2"/>
      <c r="Z851" s="3"/>
      <c r="AA851" s="3"/>
    </row>
    <row r="852" spans="2:27">
      <c r="B852" s="40"/>
      <c r="N852" s="2"/>
      <c r="O852" s="2"/>
      <c r="T852" s="2"/>
      <c r="U852" s="2"/>
      <c r="Z852" s="3"/>
      <c r="AA852" s="3"/>
    </row>
    <row r="853" spans="2:27">
      <c r="B853" s="40"/>
      <c r="N853" s="2"/>
      <c r="O853" s="2"/>
      <c r="T853" s="2"/>
      <c r="U853" s="2"/>
      <c r="Z853" s="3"/>
      <c r="AA853" s="3"/>
    </row>
    <row r="854" spans="2:27">
      <c r="B854" s="40"/>
      <c r="N854" s="2"/>
      <c r="O854" s="2"/>
      <c r="T854" s="2"/>
      <c r="U854" s="2"/>
      <c r="Z854" s="3"/>
      <c r="AA854" s="3"/>
    </row>
    <row r="855" spans="2:27">
      <c r="B855" s="40"/>
      <c r="N855" s="2"/>
      <c r="O855" s="2"/>
      <c r="T855" s="2"/>
      <c r="U855" s="2"/>
      <c r="Z855" s="3"/>
      <c r="AA855" s="3"/>
    </row>
    <row r="856" spans="2:27">
      <c r="B856" s="40"/>
      <c r="N856" s="2"/>
      <c r="O856" s="2"/>
      <c r="T856" s="2"/>
      <c r="U856" s="2"/>
      <c r="Z856" s="3"/>
      <c r="AA856" s="3"/>
    </row>
    <row r="857" spans="2:27">
      <c r="B857" s="40"/>
      <c r="N857" s="2"/>
      <c r="O857" s="2"/>
      <c r="T857" s="2"/>
      <c r="U857" s="2"/>
      <c r="Z857" s="3"/>
      <c r="AA857" s="3"/>
    </row>
    <row r="858" spans="2:27">
      <c r="B858" s="40"/>
      <c r="N858" s="2"/>
      <c r="O858" s="2"/>
      <c r="T858" s="2"/>
      <c r="U858" s="2"/>
      <c r="Z858" s="3"/>
      <c r="AA858" s="3"/>
    </row>
    <row r="859" spans="2:27">
      <c r="B859" s="40"/>
      <c r="N859" s="2"/>
      <c r="O859" s="2"/>
      <c r="T859" s="2"/>
      <c r="U859" s="2"/>
      <c r="Z859" s="3"/>
      <c r="AA859" s="3"/>
    </row>
    <row r="860" spans="2:27">
      <c r="B860" s="40"/>
      <c r="N860" s="2"/>
      <c r="O860" s="2"/>
      <c r="T860" s="2"/>
      <c r="U860" s="2"/>
      <c r="Z860" s="3"/>
      <c r="AA860" s="3"/>
    </row>
    <row r="861" spans="2:27">
      <c r="B861" s="40"/>
      <c r="N861" s="2"/>
      <c r="O861" s="2"/>
      <c r="T861" s="2"/>
      <c r="U861" s="2"/>
      <c r="Z861" s="3"/>
      <c r="AA861" s="3"/>
    </row>
    <row r="862" spans="2:27">
      <c r="B862" s="40"/>
      <c r="N862" s="2"/>
      <c r="O862" s="2"/>
      <c r="T862" s="2"/>
      <c r="U862" s="2"/>
      <c r="Z862" s="3"/>
      <c r="AA862" s="3"/>
    </row>
    <row r="863" spans="2:27">
      <c r="B863" s="40"/>
      <c r="N863" s="2"/>
      <c r="O863" s="2"/>
      <c r="T863" s="2"/>
      <c r="U863" s="2"/>
      <c r="Z863" s="3"/>
      <c r="AA863" s="3"/>
    </row>
    <row r="864" spans="2:27">
      <c r="B864" s="40"/>
      <c r="N864" s="2"/>
      <c r="O864" s="2"/>
      <c r="T864" s="2"/>
      <c r="U864" s="2"/>
      <c r="Z864" s="3"/>
      <c r="AA864" s="3"/>
    </row>
    <row r="865" spans="2:27">
      <c r="B865" s="40"/>
      <c r="N865" s="2"/>
      <c r="O865" s="2"/>
      <c r="T865" s="2"/>
      <c r="U865" s="2"/>
      <c r="Z865" s="3"/>
      <c r="AA865" s="3"/>
    </row>
    <row r="866" spans="2:27">
      <c r="B866" s="40"/>
      <c r="N866" s="2"/>
      <c r="O866" s="2"/>
      <c r="T866" s="2"/>
      <c r="U866" s="2"/>
      <c r="Z866" s="3"/>
      <c r="AA866" s="3"/>
    </row>
    <row r="867" spans="2:27">
      <c r="B867" s="40"/>
      <c r="N867" s="2"/>
      <c r="O867" s="2"/>
      <c r="T867" s="2"/>
      <c r="U867" s="2"/>
      <c r="Z867" s="3"/>
      <c r="AA867" s="3"/>
    </row>
    <row r="868" spans="2:27">
      <c r="B868" s="40"/>
      <c r="N868" s="2"/>
      <c r="O868" s="2"/>
      <c r="T868" s="2"/>
      <c r="U868" s="2"/>
      <c r="Z868" s="3"/>
      <c r="AA868" s="3"/>
    </row>
    <row r="869" spans="2:27">
      <c r="B869" s="40"/>
      <c r="N869" s="2"/>
      <c r="O869" s="2"/>
      <c r="T869" s="2"/>
      <c r="U869" s="2"/>
      <c r="Z869" s="3"/>
      <c r="AA869" s="3"/>
    </row>
    <row r="870" spans="2:27">
      <c r="B870" s="40"/>
      <c r="N870" s="2"/>
      <c r="O870" s="2"/>
      <c r="T870" s="2"/>
      <c r="U870" s="2"/>
      <c r="Z870" s="3"/>
      <c r="AA870" s="3"/>
    </row>
    <row r="871" spans="2:27">
      <c r="B871" s="40"/>
      <c r="N871" s="2"/>
      <c r="O871" s="2"/>
      <c r="T871" s="2"/>
      <c r="U871" s="2"/>
      <c r="Z871" s="3"/>
      <c r="AA871" s="3"/>
    </row>
    <row r="872" spans="2:27">
      <c r="B872" s="40"/>
      <c r="N872" s="2"/>
      <c r="O872" s="2"/>
      <c r="T872" s="2"/>
      <c r="U872" s="2"/>
      <c r="Z872" s="3"/>
      <c r="AA872" s="3"/>
    </row>
    <row r="873" spans="2:27">
      <c r="B873" s="40"/>
      <c r="N873" s="2"/>
      <c r="O873" s="2"/>
      <c r="T873" s="2"/>
      <c r="U873" s="2"/>
      <c r="Z873" s="3"/>
      <c r="AA873" s="3"/>
    </row>
    <row r="874" spans="2:27">
      <c r="B874" s="40"/>
      <c r="N874" s="2"/>
      <c r="O874" s="2"/>
      <c r="T874" s="2"/>
      <c r="U874" s="2"/>
      <c r="Z874" s="3"/>
      <c r="AA874" s="3"/>
    </row>
    <row r="875" spans="2:27">
      <c r="B875" s="40"/>
      <c r="N875" s="2"/>
      <c r="O875" s="2"/>
      <c r="T875" s="2"/>
      <c r="U875" s="2"/>
      <c r="Z875" s="3"/>
      <c r="AA875" s="3"/>
    </row>
    <row r="876" spans="2:27">
      <c r="B876" s="40"/>
      <c r="N876" s="2"/>
      <c r="O876" s="2"/>
      <c r="T876" s="2"/>
      <c r="U876" s="2"/>
      <c r="Z876" s="3"/>
      <c r="AA876" s="3"/>
    </row>
    <row r="877" spans="2:27">
      <c r="B877" s="40"/>
      <c r="N877" s="2"/>
      <c r="O877" s="2"/>
      <c r="T877" s="2"/>
      <c r="U877" s="2"/>
      <c r="Z877" s="3"/>
      <c r="AA877" s="3"/>
    </row>
    <row r="878" spans="2:27">
      <c r="B878" s="40"/>
      <c r="N878" s="2"/>
      <c r="O878" s="2"/>
      <c r="T878" s="2"/>
      <c r="U878" s="2"/>
      <c r="Z878" s="3"/>
      <c r="AA878" s="3"/>
    </row>
    <row r="879" spans="2:27">
      <c r="B879" s="40"/>
      <c r="N879" s="2"/>
      <c r="O879" s="2"/>
      <c r="T879" s="2"/>
      <c r="U879" s="2"/>
      <c r="Z879" s="3"/>
      <c r="AA879" s="3"/>
    </row>
    <row r="880" spans="2:27">
      <c r="B880" s="40"/>
      <c r="N880" s="2"/>
      <c r="O880" s="2"/>
      <c r="T880" s="2"/>
      <c r="U880" s="2"/>
      <c r="Z880" s="3"/>
      <c r="AA880" s="3"/>
    </row>
    <row r="881" spans="2:27">
      <c r="B881" s="40"/>
      <c r="N881" s="2"/>
      <c r="O881" s="2"/>
      <c r="T881" s="2"/>
      <c r="U881" s="2"/>
      <c r="Z881" s="3"/>
      <c r="AA881" s="3"/>
    </row>
    <row r="882" spans="2:27">
      <c r="B882" s="40"/>
      <c r="N882" s="2"/>
      <c r="O882" s="2"/>
      <c r="T882" s="2"/>
      <c r="U882" s="2"/>
      <c r="Z882" s="3"/>
      <c r="AA882" s="3"/>
    </row>
    <row r="883" spans="2:27">
      <c r="B883" s="40"/>
      <c r="N883" s="2"/>
      <c r="O883" s="2"/>
      <c r="T883" s="2"/>
      <c r="U883" s="2"/>
      <c r="Z883" s="3"/>
      <c r="AA883" s="3"/>
    </row>
    <row r="884" spans="2:27">
      <c r="B884" s="40"/>
      <c r="N884" s="2"/>
      <c r="O884" s="2"/>
      <c r="T884" s="2"/>
      <c r="U884" s="2"/>
      <c r="Z884" s="3"/>
      <c r="AA884" s="3"/>
    </row>
    <row r="885" spans="2:27">
      <c r="B885" s="40"/>
      <c r="N885" s="2"/>
      <c r="O885" s="2"/>
      <c r="T885" s="2"/>
      <c r="U885" s="2"/>
      <c r="Z885" s="3"/>
      <c r="AA885" s="3"/>
    </row>
    <row r="886" spans="2:27">
      <c r="B886" s="40"/>
      <c r="N886" s="2"/>
      <c r="O886" s="2"/>
      <c r="T886" s="2"/>
      <c r="U886" s="2"/>
      <c r="Z886" s="3"/>
      <c r="AA886" s="3"/>
    </row>
    <row r="887" spans="2:27">
      <c r="B887" s="40"/>
      <c r="N887" s="2"/>
      <c r="O887" s="2"/>
      <c r="T887" s="2"/>
      <c r="U887" s="2"/>
      <c r="Z887" s="3"/>
      <c r="AA887" s="3"/>
    </row>
    <row r="888" spans="2:27">
      <c r="B888" s="40"/>
      <c r="N888" s="2"/>
      <c r="O888" s="2"/>
      <c r="T888" s="2"/>
      <c r="U888" s="2"/>
      <c r="Z888" s="3"/>
      <c r="AA888" s="3"/>
    </row>
    <row r="889" spans="2:27">
      <c r="B889" s="40"/>
      <c r="N889" s="2"/>
      <c r="O889" s="2"/>
      <c r="T889" s="2"/>
      <c r="U889" s="2"/>
      <c r="Z889" s="3"/>
      <c r="AA889" s="3"/>
    </row>
    <row r="890" spans="2:27">
      <c r="B890" s="40"/>
      <c r="N890" s="2"/>
      <c r="O890" s="2"/>
      <c r="T890" s="2"/>
      <c r="U890" s="2"/>
      <c r="Z890" s="3"/>
      <c r="AA890" s="3"/>
    </row>
    <row r="891" spans="2:27">
      <c r="B891" s="40"/>
      <c r="N891" s="2"/>
      <c r="O891" s="2"/>
      <c r="T891" s="2"/>
      <c r="U891" s="2"/>
      <c r="Z891" s="3"/>
      <c r="AA891" s="3"/>
    </row>
    <row r="892" spans="2:27">
      <c r="B892" s="40"/>
      <c r="N892" s="2"/>
      <c r="O892" s="2"/>
      <c r="T892" s="2"/>
      <c r="U892" s="2"/>
      <c r="Z892" s="3"/>
      <c r="AA892" s="3"/>
    </row>
    <row r="893" spans="2:27">
      <c r="B893" s="40"/>
      <c r="N893" s="2"/>
      <c r="O893" s="2"/>
      <c r="T893" s="2"/>
      <c r="U893" s="2"/>
      <c r="Z893" s="3"/>
      <c r="AA893" s="3"/>
    </row>
    <row r="894" spans="2:27">
      <c r="B894" s="40"/>
      <c r="N894" s="2"/>
      <c r="O894" s="2"/>
      <c r="T894" s="2"/>
      <c r="U894" s="2"/>
      <c r="Z894" s="3"/>
      <c r="AA894" s="3"/>
    </row>
    <row r="895" spans="2:27">
      <c r="B895" s="40"/>
      <c r="N895" s="2"/>
      <c r="O895" s="2"/>
      <c r="T895" s="2"/>
      <c r="U895" s="2"/>
      <c r="Z895" s="3"/>
      <c r="AA895" s="3"/>
    </row>
    <row r="896" spans="2:27">
      <c r="B896" s="40"/>
      <c r="N896" s="2"/>
      <c r="O896" s="2"/>
      <c r="T896" s="2"/>
      <c r="U896" s="2"/>
      <c r="Z896" s="3"/>
      <c r="AA896" s="3"/>
    </row>
    <row r="897" spans="2:27">
      <c r="B897" s="40"/>
      <c r="N897" s="2"/>
      <c r="O897" s="2"/>
      <c r="T897" s="2"/>
      <c r="U897" s="2"/>
      <c r="Z897" s="3"/>
      <c r="AA897" s="3"/>
    </row>
    <row r="898" spans="2:27">
      <c r="B898" s="40"/>
      <c r="N898" s="2"/>
      <c r="O898" s="2"/>
      <c r="T898" s="2"/>
      <c r="U898" s="2"/>
      <c r="Z898" s="3"/>
      <c r="AA898" s="3"/>
    </row>
    <row r="899" spans="2:27">
      <c r="B899" s="40"/>
      <c r="N899" s="2"/>
      <c r="O899" s="2"/>
      <c r="T899" s="2"/>
      <c r="U899" s="2"/>
      <c r="Z899" s="3"/>
      <c r="AA899" s="3"/>
    </row>
    <row r="900" spans="2:27">
      <c r="B900" s="40"/>
      <c r="N900" s="2"/>
      <c r="O900" s="2"/>
      <c r="T900" s="2"/>
      <c r="U900" s="2"/>
      <c r="Z900" s="3"/>
      <c r="AA900" s="3"/>
    </row>
    <row r="901" spans="2:27">
      <c r="B901" s="40"/>
      <c r="N901" s="2"/>
      <c r="O901" s="2"/>
      <c r="T901" s="2"/>
      <c r="U901" s="2"/>
      <c r="Z901" s="3"/>
      <c r="AA901" s="3"/>
    </row>
    <row r="902" spans="2:27">
      <c r="B902" s="40"/>
      <c r="N902" s="2"/>
      <c r="O902" s="2"/>
      <c r="T902" s="2"/>
      <c r="U902" s="2"/>
      <c r="Z902" s="3"/>
      <c r="AA902" s="3"/>
    </row>
    <row r="903" spans="2:27">
      <c r="B903" s="40"/>
      <c r="N903" s="2"/>
      <c r="O903" s="2"/>
      <c r="T903" s="2"/>
      <c r="U903" s="2"/>
      <c r="Z903" s="3"/>
      <c r="AA903" s="3"/>
    </row>
    <row r="904" spans="2:27">
      <c r="B904" s="40"/>
      <c r="N904" s="2"/>
      <c r="O904" s="2"/>
      <c r="T904" s="2"/>
      <c r="U904" s="2"/>
      <c r="Z904" s="3"/>
      <c r="AA904" s="3"/>
    </row>
    <row r="905" spans="2:27">
      <c r="B905" s="40"/>
      <c r="N905" s="2"/>
      <c r="O905" s="2"/>
      <c r="T905" s="2"/>
      <c r="U905" s="2"/>
      <c r="Z905" s="3"/>
      <c r="AA905" s="3"/>
    </row>
    <row r="906" spans="2:27">
      <c r="B906" s="40"/>
      <c r="N906" s="2"/>
      <c r="O906" s="2"/>
      <c r="T906" s="2"/>
      <c r="U906" s="2"/>
      <c r="Z906" s="3"/>
      <c r="AA906" s="3"/>
    </row>
    <row r="907" spans="2:27">
      <c r="B907" s="40"/>
      <c r="N907" s="2"/>
      <c r="O907" s="2"/>
      <c r="T907" s="2"/>
      <c r="U907" s="2"/>
      <c r="Z907" s="3"/>
      <c r="AA907" s="3"/>
    </row>
    <row r="908" spans="2:27">
      <c r="B908" s="40"/>
      <c r="N908" s="2"/>
      <c r="O908" s="2"/>
      <c r="T908" s="2"/>
      <c r="U908" s="2"/>
      <c r="Z908" s="3"/>
      <c r="AA908" s="3"/>
    </row>
    <row r="909" spans="2:27">
      <c r="B909" s="40"/>
      <c r="N909" s="2"/>
      <c r="O909" s="2"/>
      <c r="T909" s="2"/>
      <c r="U909" s="2"/>
      <c r="Z909" s="3"/>
      <c r="AA909" s="3"/>
    </row>
    <row r="910" spans="2:27">
      <c r="B910" s="40"/>
      <c r="N910" s="2"/>
      <c r="O910" s="2"/>
      <c r="T910" s="2"/>
      <c r="U910" s="2"/>
      <c r="Z910" s="3"/>
      <c r="AA910" s="3"/>
    </row>
    <row r="911" spans="2:27">
      <c r="B911" s="40"/>
      <c r="N911" s="2"/>
      <c r="O911" s="2"/>
      <c r="T911" s="2"/>
      <c r="U911" s="2"/>
      <c r="Z911" s="3"/>
      <c r="AA911" s="3"/>
    </row>
    <row r="912" spans="2:27">
      <c r="B912" s="40"/>
      <c r="N912" s="2"/>
      <c r="O912" s="2"/>
      <c r="T912" s="2"/>
      <c r="U912" s="2"/>
      <c r="Z912" s="3"/>
      <c r="AA912" s="3"/>
    </row>
    <row r="913" spans="2:27">
      <c r="B913" s="40"/>
      <c r="N913" s="2"/>
      <c r="O913" s="2"/>
      <c r="T913" s="2"/>
      <c r="U913" s="2"/>
      <c r="Z913" s="3"/>
      <c r="AA913" s="3"/>
    </row>
    <row r="914" spans="2:27">
      <c r="B914" s="40"/>
      <c r="N914" s="2"/>
      <c r="O914" s="2"/>
      <c r="T914" s="2"/>
      <c r="U914" s="2"/>
      <c r="Z914" s="3"/>
      <c r="AA914" s="3"/>
    </row>
    <row r="915" spans="2:27">
      <c r="B915" s="40"/>
      <c r="N915" s="2"/>
      <c r="O915" s="2"/>
      <c r="T915" s="2"/>
      <c r="U915" s="2"/>
      <c r="Z915" s="3"/>
      <c r="AA915" s="3"/>
    </row>
    <row r="916" spans="2:27">
      <c r="B916" s="40"/>
      <c r="N916" s="2"/>
      <c r="O916" s="2"/>
      <c r="T916" s="2"/>
      <c r="U916" s="2"/>
      <c r="Z916" s="3"/>
      <c r="AA916" s="3"/>
    </row>
    <row r="917" spans="2:27">
      <c r="B917" s="40"/>
      <c r="N917" s="2"/>
      <c r="O917" s="2"/>
      <c r="T917" s="2"/>
      <c r="U917" s="2"/>
      <c r="Z917" s="3"/>
      <c r="AA917" s="3"/>
    </row>
    <row r="918" spans="2:27">
      <c r="B918" s="40"/>
      <c r="N918" s="2"/>
      <c r="O918" s="2"/>
      <c r="T918" s="2"/>
      <c r="U918" s="2"/>
      <c r="Z918" s="3"/>
      <c r="AA918" s="3"/>
    </row>
    <row r="919" spans="2:27">
      <c r="B919" s="40"/>
      <c r="N919" s="2"/>
      <c r="O919" s="2"/>
      <c r="T919" s="2"/>
      <c r="U919" s="2"/>
      <c r="Z919" s="3"/>
      <c r="AA919" s="3"/>
    </row>
    <row r="920" spans="2:27">
      <c r="B920" s="40"/>
      <c r="N920" s="2"/>
      <c r="O920" s="2"/>
      <c r="T920" s="2"/>
      <c r="U920" s="2"/>
      <c r="Z920" s="3"/>
      <c r="AA920" s="3"/>
    </row>
    <row r="921" spans="2:27">
      <c r="B921" s="40"/>
      <c r="N921" s="2"/>
      <c r="O921" s="2"/>
      <c r="T921" s="2"/>
      <c r="U921" s="2"/>
      <c r="Z921" s="3"/>
      <c r="AA921" s="3"/>
    </row>
    <row r="922" spans="2:27">
      <c r="B922" s="40"/>
      <c r="N922" s="2"/>
      <c r="O922" s="2"/>
      <c r="T922" s="2"/>
      <c r="U922" s="2"/>
      <c r="Z922" s="3"/>
      <c r="AA922" s="3"/>
    </row>
    <row r="923" spans="2:27">
      <c r="B923" s="40"/>
      <c r="N923" s="2"/>
      <c r="O923" s="2"/>
      <c r="T923" s="2"/>
      <c r="U923" s="2"/>
      <c r="Z923" s="3"/>
      <c r="AA923" s="3"/>
    </row>
    <row r="924" spans="2:27">
      <c r="B924" s="40"/>
      <c r="N924" s="2"/>
      <c r="O924" s="2"/>
      <c r="T924" s="2"/>
      <c r="U924" s="2"/>
      <c r="Z924" s="3"/>
      <c r="AA924" s="3"/>
    </row>
    <row r="925" spans="2:27">
      <c r="B925" s="40"/>
      <c r="N925" s="2"/>
      <c r="O925" s="2"/>
      <c r="T925" s="2"/>
      <c r="U925" s="2"/>
      <c r="Z925" s="3"/>
      <c r="AA925" s="3"/>
    </row>
    <row r="926" spans="2:27">
      <c r="B926" s="40"/>
      <c r="N926" s="2"/>
      <c r="O926" s="2"/>
      <c r="T926" s="2"/>
      <c r="U926" s="2"/>
      <c r="Z926" s="3"/>
      <c r="AA926" s="3"/>
    </row>
    <row r="927" spans="2:27">
      <c r="B927" s="40"/>
      <c r="N927" s="2"/>
      <c r="O927" s="2"/>
      <c r="T927" s="2"/>
      <c r="U927" s="2"/>
      <c r="Z927" s="3"/>
      <c r="AA927" s="3"/>
    </row>
    <row r="928" spans="2:27">
      <c r="B928" s="40"/>
      <c r="N928" s="2"/>
      <c r="O928" s="2"/>
      <c r="T928" s="2"/>
      <c r="U928" s="2"/>
      <c r="Z928" s="3"/>
      <c r="AA928" s="3"/>
    </row>
    <row r="929" spans="2:27">
      <c r="B929" s="40"/>
      <c r="N929" s="2"/>
      <c r="O929" s="2"/>
      <c r="T929" s="2"/>
      <c r="U929" s="2"/>
      <c r="Z929" s="3"/>
      <c r="AA929" s="3"/>
    </row>
    <row r="930" spans="2:27">
      <c r="B930" s="40"/>
      <c r="N930" s="2"/>
      <c r="O930" s="2"/>
      <c r="T930" s="2"/>
      <c r="U930" s="2"/>
      <c r="Z930" s="3"/>
      <c r="AA930" s="3"/>
    </row>
    <row r="931" spans="2:27">
      <c r="B931" s="40"/>
      <c r="N931" s="2"/>
      <c r="O931" s="2"/>
      <c r="T931" s="2"/>
      <c r="U931" s="2"/>
      <c r="Z931" s="3"/>
      <c r="AA931" s="3"/>
    </row>
    <row r="932" spans="2:27">
      <c r="B932" s="40"/>
      <c r="N932" s="2"/>
      <c r="O932" s="2"/>
      <c r="T932" s="2"/>
      <c r="U932" s="2"/>
      <c r="Z932" s="3"/>
      <c r="AA932" s="3"/>
    </row>
    <row r="933" spans="2:27">
      <c r="B933" s="40"/>
      <c r="N933" s="2"/>
      <c r="O933" s="2"/>
      <c r="T933" s="2"/>
      <c r="U933" s="2"/>
      <c r="Z933" s="3"/>
      <c r="AA933" s="3"/>
    </row>
    <row r="934" spans="2:27">
      <c r="B934" s="40"/>
      <c r="N934" s="2"/>
      <c r="O934" s="2"/>
      <c r="T934" s="2"/>
      <c r="U934" s="2"/>
      <c r="Z934" s="3"/>
      <c r="AA934" s="3"/>
    </row>
    <row r="935" spans="2:27">
      <c r="B935" s="40"/>
      <c r="N935" s="2"/>
      <c r="O935" s="2"/>
      <c r="T935" s="2"/>
      <c r="U935" s="2"/>
      <c r="Z935" s="3"/>
      <c r="AA935" s="3"/>
    </row>
    <row r="936" spans="2:27">
      <c r="B936" s="40"/>
      <c r="N936" s="2"/>
      <c r="O936" s="2"/>
      <c r="T936" s="2"/>
      <c r="U936" s="2"/>
      <c r="Z936" s="3"/>
      <c r="AA936" s="3"/>
    </row>
    <row r="937" spans="2:27">
      <c r="B937" s="40"/>
      <c r="N937" s="2"/>
      <c r="O937" s="2"/>
      <c r="T937" s="2"/>
      <c r="U937" s="2"/>
      <c r="Z937" s="3"/>
      <c r="AA937" s="3"/>
    </row>
    <row r="938" spans="2:27">
      <c r="B938" s="40"/>
      <c r="N938" s="2"/>
      <c r="O938" s="2"/>
      <c r="T938" s="2"/>
      <c r="U938" s="2"/>
      <c r="Z938" s="3"/>
      <c r="AA938" s="3"/>
    </row>
    <row r="939" spans="2:27">
      <c r="B939" s="40"/>
      <c r="N939" s="2"/>
      <c r="O939" s="2"/>
      <c r="T939" s="2"/>
      <c r="U939" s="2"/>
      <c r="Z939" s="3"/>
      <c r="AA939" s="3"/>
    </row>
    <row r="940" spans="2:27">
      <c r="B940" s="40"/>
      <c r="N940" s="2"/>
      <c r="O940" s="2"/>
      <c r="T940" s="2"/>
      <c r="U940" s="2"/>
      <c r="Z940" s="3"/>
      <c r="AA940" s="3"/>
    </row>
    <row r="941" spans="2:27">
      <c r="B941" s="40"/>
      <c r="N941" s="2"/>
      <c r="O941" s="2"/>
      <c r="T941" s="2"/>
      <c r="U941" s="2"/>
      <c r="Z941" s="3"/>
      <c r="AA941" s="3"/>
    </row>
    <row r="942" spans="2:27">
      <c r="B942" s="40"/>
      <c r="N942" s="2"/>
      <c r="O942" s="2"/>
      <c r="T942" s="2"/>
      <c r="U942" s="2"/>
      <c r="Z942" s="3"/>
      <c r="AA942" s="3"/>
    </row>
    <row r="943" spans="2:27">
      <c r="B943" s="40"/>
      <c r="N943" s="2"/>
      <c r="O943" s="2"/>
      <c r="T943" s="2"/>
      <c r="U943" s="2"/>
      <c r="Z943" s="3"/>
      <c r="AA943" s="3"/>
    </row>
    <row r="944" spans="2:27">
      <c r="B944" s="40"/>
      <c r="N944" s="2"/>
      <c r="O944" s="2"/>
      <c r="T944" s="2"/>
      <c r="U944" s="2"/>
      <c r="Z944" s="3"/>
      <c r="AA944" s="3"/>
    </row>
    <row r="945" spans="2:27">
      <c r="B945" s="40"/>
      <c r="N945" s="2"/>
      <c r="O945" s="2"/>
      <c r="T945" s="2"/>
      <c r="U945" s="2"/>
      <c r="Z945" s="3"/>
      <c r="AA945" s="3"/>
    </row>
    <row r="946" spans="2:27">
      <c r="B946" s="40"/>
      <c r="N946" s="2"/>
      <c r="O946" s="2"/>
      <c r="T946" s="2"/>
      <c r="U946" s="2"/>
      <c r="Z946" s="3"/>
      <c r="AA946" s="3"/>
    </row>
    <row r="947" spans="2:27">
      <c r="B947" s="40"/>
      <c r="N947" s="2"/>
      <c r="O947" s="2"/>
      <c r="T947" s="2"/>
      <c r="U947" s="2"/>
      <c r="Z947" s="3"/>
      <c r="AA947" s="3"/>
    </row>
    <row r="948" spans="2:27">
      <c r="B948" s="40"/>
      <c r="N948" s="2"/>
      <c r="O948" s="2"/>
      <c r="T948" s="2"/>
      <c r="U948" s="2"/>
      <c r="Z948" s="3"/>
      <c r="AA948" s="3"/>
    </row>
    <row r="949" spans="2:27">
      <c r="B949" s="40"/>
      <c r="N949" s="2"/>
      <c r="O949" s="2"/>
      <c r="T949" s="2"/>
      <c r="U949" s="2"/>
      <c r="Z949" s="3"/>
      <c r="AA949" s="3"/>
    </row>
    <row r="950" spans="2:27">
      <c r="B950" s="40"/>
      <c r="N950" s="2"/>
      <c r="O950" s="2"/>
      <c r="T950" s="2"/>
      <c r="U950" s="2"/>
      <c r="Z950" s="3"/>
      <c r="AA950" s="3"/>
    </row>
    <row r="951" spans="2:27">
      <c r="B951" s="40"/>
      <c r="N951" s="2"/>
      <c r="O951" s="2"/>
      <c r="T951" s="2"/>
      <c r="U951" s="2"/>
      <c r="Z951" s="3"/>
      <c r="AA951" s="3"/>
    </row>
    <row r="952" spans="2:27">
      <c r="B952" s="40"/>
      <c r="N952" s="2"/>
      <c r="O952" s="2"/>
      <c r="T952" s="2"/>
      <c r="U952" s="2"/>
      <c r="Z952" s="3"/>
      <c r="AA952" s="3"/>
    </row>
    <row r="953" spans="2:27">
      <c r="B953" s="40"/>
      <c r="N953" s="2"/>
      <c r="O953" s="2"/>
      <c r="T953" s="2"/>
      <c r="U953" s="2"/>
      <c r="Z953" s="3"/>
      <c r="AA953" s="3"/>
    </row>
    <row r="954" spans="2:27">
      <c r="B954" s="40"/>
      <c r="N954" s="2"/>
      <c r="O954" s="2"/>
      <c r="T954" s="2"/>
      <c r="U954" s="2"/>
      <c r="Z954" s="3"/>
      <c r="AA954" s="3"/>
    </row>
    <row r="955" spans="2:27">
      <c r="B955" s="40"/>
      <c r="N955" s="2"/>
      <c r="O955" s="2"/>
      <c r="T955" s="2"/>
      <c r="U955" s="2"/>
      <c r="Z955" s="3"/>
      <c r="AA955" s="3"/>
    </row>
    <row r="956" spans="2:27">
      <c r="B956" s="40"/>
      <c r="N956" s="2"/>
      <c r="O956" s="2"/>
      <c r="T956" s="2"/>
      <c r="U956" s="2"/>
      <c r="Z956" s="3"/>
      <c r="AA956" s="3"/>
    </row>
    <row r="957" spans="2:27">
      <c r="B957" s="40"/>
      <c r="N957" s="2"/>
      <c r="O957" s="2"/>
      <c r="T957" s="2"/>
      <c r="U957" s="2"/>
      <c r="Z957" s="3"/>
      <c r="AA957" s="3"/>
    </row>
    <row r="958" spans="2:27">
      <c r="B958" s="40"/>
      <c r="N958" s="2"/>
      <c r="O958" s="2"/>
      <c r="T958" s="2"/>
      <c r="U958" s="2"/>
      <c r="Z958" s="3"/>
      <c r="AA958" s="3"/>
    </row>
    <row r="959" spans="2:27">
      <c r="B959" s="40"/>
      <c r="N959" s="2"/>
      <c r="O959" s="2"/>
      <c r="T959" s="2"/>
      <c r="U959" s="2"/>
      <c r="Z959" s="3"/>
      <c r="AA959" s="3"/>
    </row>
    <row r="960" spans="2:27">
      <c r="B960" s="40"/>
      <c r="N960" s="2"/>
      <c r="O960" s="2"/>
      <c r="T960" s="2"/>
      <c r="U960" s="2"/>
      <c r="Z960" s="3"/>
      <c r="AA960" s="3"/>
    </row>
    <row r="961" spans="2:27">
      <c r="B961" s="40"/>
      <c r="N961" s="2"/>
      <c r="O961" s="2"/>
      <c r="T961" s="2"/>
      <c r="U961" s="2"/>
      <c r="Z961" s="3"/>
      <c r="AA961" s="3"/>
    </row>
    <row r="962" spans="2:27">
      <c r="B962" s="40"/>
      <c r="N962" s="2"/>
      <c r="O962" s="2"/>
      <c r="T962" s="2"/>
      <c r="U962" s="2"/>
      <c r="Z962" s="3"/>
      <c r="AA962" s="3"/>
    </row>
    <row r="963" spans="2:27">
      <c r="B963" s="40"/>
      <c r="N963" s="2"/>
      <c r="O963" s="2"/>
      <c r="T963" s="2"/>
      <c r="U963" s="2"/>
      <c r="Z963" s="3"/>
      <c r="AA963" s="3"/>
    </row>
    <row r="964" spans="2:27">
      <c r="B964" s="40"/>
      <c r="N964" s="2"/>
      <c r="O964" s="2"/>
      <c r="T964" s="2"/>
      <c r="U964" s="2"/>
      <c r="Z964" s="3"/>
      <c r="AA964" s="3"/>
    </row>
    <row r="965" spans="2:27">
      <c r="B965" s="40"/>
      <c r="N965" s="2"/>
      <c r="O965" s="2"/>
      <c r="T965" s="2"/>
      <c r="U965" s="2"/>
      <c r="Z965" s="3"/>
      <c r="AA965" s="3"/>
    </row>
    <row r="966" spans="2:27">
      <c r="B966" s="40"/>
      <c r="N966" s="2"/>
      <c r="O966" s="2"/>
      <c r="T966" s="2"/>
      <c r="U966" s="2"/>
      <c r="Z966" s="3"/>
      <c r="AA966" s="3"/>
    </row>
    <row r="967" spans="2:27">
      <c r="B967" s="40"/>
      <c r="N967" s="2"/>
      <c r="O967" s="2"/>
      <c r="T967" s="2"/>
      <c r="U967" s="2"/>
      <c r="Z967" s="3"/>
      <c r="AA967" s="3"/>
    </row>
    <row r="968" spans="2:27">
      <c r="B968" s="40"/>
      <c r="N968" s="2"/>
      <c r="O968" s="2"/>
      <c r="T968" s="2"/>
      <c r="U968" s="2"/>
      <c r="Z968" s="3"/>
      <c r="AA968" s="3"/>
    </row>
    <row r="969" spans="2:27">
      <c r="B969" s="40"/>
      <c r="N969" s="2"/>
      <c r="O969" s="2"/>
      <c r="T969" s="2"/>
      <c r="U969" s="2"/>
      <c r="Z969" s="3"/>
      <c r="AA969" s="3"/>
    </row>
    <row r="970" spans="2:27">
      <c r="B970" s="40"/>
      <c r="N970" s="2"/>
      <c r="O970" s="2"/>
      <c r="T970" s="2"/>
      <c r="U970" s="2"/>
      <c r="Z970" s="3"/>
      <c r="AA970" s="3"/>
    </row>
    <row r="971" spans="2:27">
      <c r="B971" s="40"/>
      <c r="N971" s="2"/>
      <c r="O971" s="2"/>
      <c r="T971" s="2"/>
      <c r="U971" s="2"/>
      <c r="Z971" s="3"/>
      <c r="AA971" s="3"/>
    </row>
    <row r="972" spans="2:27">
      <c r="B972" s="40"/>
      <c r="N972" s="2"/>
      <c r="O972" s="2"/>
      <c r="T972" s="2"/>
      <c r="U972" s="2"/>
      <c r="Z972" s="3"/>
      <c r="AA972" s="3"/>
    </row>
    <row r="973" spans="2:27">
      <c r="B973" s="40"/>
      <c r="N973" s="2"/>
      <c r="O973" s="2"/>
      <c r="T973" s="2"/>
      <c r="U973" s="2"/>
      <c r="Z973" s="3"/>
      <c r="AA973" s="3"/>
    </row>
    <row r="974" spans="2:27">
      <c r="B974" s="40"/>
      <c r="N974" s="2"/>
      <c r="O974" s="2"/>
      <c r="T974" s="2"/>
      <c r="U974" s="2"/>
      <c r="Z974" s="3"/>
      <c r="AA974" s="3"/>
    </row>
    <row r="975" spans="2:27">
      <c r="B975" s="40"/>
      <c r="N975" s="2"/>
      <c r="O975" s="2"/>
      <c r="T975" s="2"/>
      <c r="U975" s="2"/>
      <c r="Z975" s="3"/>
      <c r="AA975" s="3"/>
    </row>
    <row r="976" spans="2:27">
      <c r="B976" s="40"/>
      <c r="N976" s="2"/>
      <c r="O976" s="2"/>
      <c r="T976" s="2"/>
      <c r="U976" s="2"/>
      <c r="Z976" s="3"/>
      <c r="AA976" s="3"/>
    </row>
    <row r="977" spans="2:27">
      <c r="B977" s="40"/>
      <c r="N977" s="2"/>
      <c r="O977" s="2"/>
      <c r="T977" s="2"/>
      <c r="U977" s="2"/>
      <c r="Z977" s="3"/>
      <c r="AA977" s="3"/>
    </row>
    <row r="978" spans="2:27">
      <c r="B978" s="40"/>
      <c r="N978" s="2"/>
      <c r="O978" s="2"/>
      <c r="T978" s="2"/>
      <c r="U978" s="2"/>
      <c r="Z978" s="3"/>
      <c r="AA978" s="3"/>
    </row>
    <row r="979" spans="2:27">
      <c r="B979" s="40"/>
      <c r="N979" s="2"/>
      <c r="O979" s="2"/>
      <c r="T979" s="2"/>
      <c r="U979" s="2"/>
      <c r="Z979" s="3"/>
      <c r="AA979" s="3"/>
    </row>
    <row r="980" spans="2:27">
      <c r="B980" s="40"/>
      <c r="N980" s="2"/>
      <c r="O980" s="2"/>
      <c r="T980" s="2"/>
      <c r="U980" s="2"/>
      <c r="Z980" s="3"/>
      <c r="AA980" s="3"/>
    </row>
    <row r="981" spans="2:27">
      <c r="B981" s="40"/>
      <c r="N981" s="2"/>
      <c r="O981" s="2"/>
      <c r="T981" s="2"/>
      <c r="U981" s="2"/>
      <c r="Z981" s="3"/>
      <c r="AA981" s="3"/>
    </row>
    <row r="982" spans="2:27">
      <c r="B982" s="40"/>
      <c r="N982" s="2"/>
      <c r="O982" s="2"/>
      <c r="T982" s="2"/>
      <c r="U982" s="2"/>
      <c r="Z982" s="3"/>
      <c r="AA982" s="3"/>
    </row>
    <row r="983" spans="2:27">
      <c r="B983" s="40"/>
      <c r="N983" s="2"/>
      <c r="O983" s="2"/>
      <c r="T983" s="2"/>
      <c r="U983" s="2"/>
      <c r="Z983" s="3"/>
      <c r="AA983" s="3"/>
    </row>
    <row r="984" spans="2:27">
      <c r="B984" s="40"/>
      <c r="N984" s="2"/>
      <c r="O984" s="2"/>
      <c r="T984" s="2"/>
      <c r="U984" s="2"/>
      <c r="Z984" s="3"/>
      <c r="AA984" s="3"/>
    </row>
    <row r="985" spans="2:27">
      <c r="B985" s="40"/>
      <c r="N985" s="2"/>
      <c r="O985" s="2"/>
      <c r="T985" s="2"/>
      <c r="U985" s="2"/>
      <c r="Z985" s="3"/>
      <c r="AA985" s="3"/>
    </row>
    <row r="986" spans="2:27">
      <c r="B986" s="40"/>
      <c r="N986" s="2"/>
      <c r="O986" s="2"/>
      <c r="T986" s="2"/>
      <c r="U986" s="2"/>
      <c r="Z986" s="3"/>
      <c r="AA986" s="3"/>
    </row>
    <row r="987" spans="2:27">
      <c r="B987" s="40"/>
      <c r="N987" s="2"/>
      <c r="O987" s="2"/>
      <c r="T987" s="2"/>
      <c r="U987" s="2"/>
      <c r="Z987" s="3"/>
      <c r="AA987" s="3"/>
    </row>
    <row r="988" spans="2:27">
      <c r="B988" s="40"/>
      <c r="N988" s="2"/>
      <c r="O988" s="2"/>
      <c r="T988" s="2"/>
      <c r="U988" s="2"/>
      <c r="Z988" s="3"/>
      <c r="AA988" s="3"/>
    </row>
    <row r="989" spans="2:27">
      <c r="B989" s="40"/>
      <c r="N989" s="2"/>
      <c r="O989" s="2"/>
      <c r="T989" s="2"/>
      <c r="U989" s="2"/>
      <c r="Z989" s="3"/>
      <c r="AA989" s="3"/>
    </row>
    <row r="990" spans="2:27">
      <c r="B990" s="40"/>
      <c r="N990" s="2"/>
      <c r="O990" s="2"/>
      <c r="T990" s="2"/>
      <c r="U990" s="2"/>
      <c r="Z990" s="3"/>
      <c r="AA990" s="3"/>
    </row>
    <row r="991" spans="2:27">
      <c r="B991" s="40"/>
      <c r="N991" s="2"/>
      <c r="O991" s="2"/>
      <c r="T991" s="2"/>
      <c r="U991" s="2"/>
      <c r="Z991" s="3"/>
      <c r="AA991" s="3"/>
    </row>
    <row r="992" spans="2:27">
      <c r="B992" s="40"/>
      <c r="N992" s="2"/>
      <c r="O992" s="2"/>
      <c r="T992" s="2"/>
      <c r="U992" s="2"/>
      <c r="Z992" s="3"/>
      <c r="AA992" s="3"/>
    </row>
    <row r="993" spans="2:27">
      <c r="B993" s="40"/>
      <c r="N993" s="2"/>
      <c r="O993" s="2"/>
      <c r="T993" s="2"/>
      <c r="U993" s="2"/>
      <c r="Z993" s="3"/>
      <c r="AA993" s="3"/>
    </row>
    <row r="994" spans="2:27">
      <c r="B994" s="40"/>
      <c r="N994" s="2"/>
      <c r="O994" s="2"/>
      <c r="T994" s="2"/>
      <c r="U994" s="2"/>
      <c r="Z994" s="3"/>
      <c r="AA994" s="3"/>
    </row>
    <row r="995" spans="2:27">
      <c r="B995" s="40"/>
      <c r="N995" s="2"/>
      <c r="O995" s="2"/>
      <c r="T995" s="2"/>
      <c r="U995" s="2"/>
      <c r="Z995" s="3"/>
      <c r="AA995" s="3"/>
    </row>
    <row r="996" spans="2:27">
      <c r="B996" s="40"/>
      <c r="N996" s="2"/>
      <c r="O996" s="2"/>
      <c r="T996" s="2"/>
      <c r="U996" s="2"/>
      <c r="Z996" s="3"/>
      <c r="AA996" s="3"/>
    </row>
    <row r="997" spans="2:27">
      <c r="B997" s="40"/>
      <c r="N997" s="2"/>
      <c r="O997" s="2"/>
      <c r="T997" s="2"/>
      <c r="U997" s="2"/>
      <c r="Z997" s="3"/>
      <c r="AA997" s="3"/>
    </row>
    <row r="998" spans="2:27">
      <c r="B998" s="40"/>
      <c r="N998" s="2"/>
      <c r="O998" s="2"/>
      <c r="T998" s="2"/>
      <c r="U998" s="2"/>
      <c r="Z998" s="3"/>
      <c r="AA998" s="3"/>
    </row>
    <row r="999" spans="2:27">
      <c r="B999" s="40"/>
      <c r="N999" s="2"/>
      <c r="O999" s="2"/>
      <c r="T999" s="2"/>
      <c r="U999" s="2"/>
      <c r="Z999" s="3"/>
      <c r="AA999" s="3"/>
    </row>
    <row r="1000" spans="2:27">
      <c r="B1000" s="40"/>
      <c r="N1000" s="2"/>
      <c r="O1000" s="2"/>
      <c r="T1000" s="2"/>
      <c r="U1000" s="2"/>
      <c r="Z1000" s="3"/>
      <c r="AA1000" s="3"/>
    </row>
    <row r="1001" spans="2:27">
      <c r="B1001" s="40"/>
      <c r="N1001" s="2"/>
      <c r="O1001" s="2"/>
      <c r="T1001" s="2"/>
      <c r="U1001" s="2"/>
      <c r="Z1001" s="3"/>
      <c r="AA1001" s="3"/>
    </row>
    <row r="1002" spans="2:27">
      <c r="B1002" s="40"/>
      <c r="N1002" s="2"/>
      <c r="O1002" s="2"/>
      <c r="T1002" s="2"/>
      <c r="U1002" s="2"/>
      <c r="Z1002" s="3"/>
      <c r="AA1002" s="3"/>
    </row>
    <row r="1003" spans="2:27">
      <c r="B1003" s="40"/>
      <c r="N1003" s="2"/>
      <c r="O1003" s="2"/>
      <c r="T1003" s="2"/>
      <c r="U1003" s="2"/>
      <c r="Z1003" s="3"/>
      <c r="AA1003" s="3"/>
    </row>
    <row r="1004" spans="2:27">
      <c r="B1004" s="40"/>
      <c r="N1004" s="2"/>
      <c r="O1004" s="2"/>
      <c r="T1004" s="2"/>
      <c r="U1004" s="2"/>
      <c r="Z1004" s="3"/>
      <c r="AA1004" s="3"/>
    </row>
    <row r="1005" spans="2:27">
      <c r="B1005" s="40"/>
      <c r="N1005" s="2"/>
      <c r="O1005" s="2"/>
      <c r="T1005" s="2"/>
      <c r="U1005" s="2"/>
      <c r="Z1005" s="3"/>
      <c r="AA1005" s="3"/>
    </row>
    <row r="1006" spans="2:27">
      <c r="B1006" s="40"/>
      <c r="N1006" s="2"/>
      <c r="O1006" s="2"/>
      <c r="T1006" s="2"/>
      <c r="U1006" s="2"/>
      <c r="Z1006" s="3"/>
      <c r="AA1006" s="3"/>
    </row>
    <row r="1007" spans="2:27">
      <c r="B1007" s="40"/>
      <c r="N1007" s="2"/>
      <c r="O1007" s="2"/>
      <c r="T1007" s="2"/>
      <c r="U1007" s="2"/>
      <c r="Z1007" s="3"/>
      <c r="AA1007" s="3"/>
    </row>
    <row r="1008" spans="2:27">
      <c r="B1008" s="40"/>
      <c r="N1008" s="2"/>
      <c r="O1008" s="2"/>
      <c r="T1008" s="2"/>
      <c r="U1008" s="2"/>
      <c r="Z1008" s="3"/>
      <c r="AA1008" s="3"/>
    </row>
    <row r="1009" spans="2:27">
      <c r="B1009" s="40"/>
      <c r="N1009" s="2"/>
      <c r="O1009" s="2"/>
      <c r="T1009" s="2"/>
      <c r="U1009" s="2"/>
      <c r="Z1009" s="3"/>
      <c r="AA1009" s="3"/>
    </row>
    <row r="1010" spans="2:27">
      <c r="B1010" s="40"/>
      <c r="N1010" s="2"/>
      <c r="O1010" s="2"/>
      <c r="T1010" s="2"/>
      <c r="U1010" s="2"/>
      <c r="Z1010" s="3"/>
      <c r="AA1010" s="3"/>
    </row>
    <row r="1011" spans="2:27">
      <c r="B1011" s="40"/>
      <c r="N1011" s="2"/>
      <c r="O1011" s="2"/>
      <c r="T1011" s="2"/>
      <c r="U1011" s="2"/>
      <c r="Z1011" s="3"/>
      <c r="AA1011" s="3"/>
    </row>
    <row r="1012" spans="2:27">
      <c r="B1012" s="40"/>
      <c r="N1012" s="2"/>
      <c r="O1012" s="2"/>
      <c r="T1012" s="2"/>
      <c r="U1012" s="2"/>
      <c r="Z1012" s="3"/>
      <c r="AA1012" s="3"/>
    </row>
    <row r="1013" spans="2:27">
      <c r="B1013" s="40"/>
      <c r="N1013" s="2"/>
      <c r="O1013" s="2"/>
      <c r="T1013" s="2"/>
      <c r="U1013" s="2"/>
      <c r="Z1013" s="3"/>
      <c r="AA1013" s="3"/>
    </row>
    <row r="1014" spans="2:27">
      <c r="B1014" s="40"/>
      <c r="N1014" s="2"/>
      <c r="O1014" s="2"/>
      <c r="T1014" s="2"/>
      <c r="U1014" s="2"/>
      <c r="Z1014" s="3"/>
      <c r="AA1014" s="3"/>
    </row>
    <row r="1015" spans="2:27">
      <c r="B1015" s="40"/>
      <c r="N1015" s="2"/>
      <c r="O1015" s="2"/>
      <c r="T1015" s="2"/>
      <c r="U1015" s="2"/>
      <c r="Z1015" s="3"/>
      <c r="AA1015" s="3"/>
    </row>
    <row r="1016" spans="2:27">
      <c r="B1016" s="40"/>
      <c r="N1016" s="2"/>
      <c r="O1016" s="2"/>
      <c r="T1016" s="2"/>
      <c r="U1016" s="2"/>
      <c r="Z1016" s="3"/>
      <c r="AA1016" s="3"/>
    </row>
    <row r="1017" spans="2:27">
      <c r="B1017" s="40"/>
      <c r="N1017" s="2"/>
      <c r="O1017" s="2"/>
      <c r="T1017" s="2"/>
      <c r="U1017" s="2"/>
      <c r="Z1017" s="3"/>
      <c r="AA1017" s="3"/>
    </row>
  </sheetData>
  <mergeCells count="19"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C3:AC4"/>
  </mergeCells>
  <phoneticPr fontId="1" type="noConversion"/>
  <hyperlinks>
    <hyperlink r:id="rId1" ref="AB1"/>
  </hyperlinks>
  <pageMargins left="0.70" right="0.70" top="0.75" bottom="0.75" header="0.30" footer="0.30"/>
  <pageSetup paperSize="9"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00"/>
  <sheetViews>
    <sheetView workbookViewId="0">
      <pane ySplit="5" topLeftCell="A6" activePane="bottomLeft" state="frozen"/>
      <selection pane="bottomLeft" activeCell="B7" sqref="B7"/>
    </sheetView>
  </sheetViews>
  <sheetFormatPr defaultColWidth="12.63000000" defaultRowHeight="15.750000" customHeight="1"/>
  <sheetData>
    <row r="1" spans="1:2">
      <c r="A1" s="41" t="s">
        <v>414</v>
      </c>
      <c r="B1" s="2"/>
    </row>
    <row r="2" spans="1:2">
      <c r="A2" s="42" t="s">
        <v>415</v>
      </c>
      <c r="B2" s="2"/>
    </row>
    <row r="3" spans="1:2">
      <c r="A3" s="42" t="s">
        <v>416</v>
      </c>
      <c r="B3" s="2"/>
    </row>
    <row r="4" spans="1:2">
      <c r="A4" s="42" t="s">
        <v>417</v>
      </c>
      <c r="B4" s="2"/>
    </row>
    <row r="5" spans="1:2">
      <c r="A5" s="43" t="s">
        <v>418</v>
      </c>
      <c r="B5" s="44" t="s">
        <v>419</v>
      </c>
    </row>
    <row r="6" spans="1:2">
      <c r="A6" s="42" t="s">
        <v>420</v>
      </c>
      <c r="B6" s="45">
        <v>45658</v>
      </c>
    </row>
    <row r="7" spans="1:2">
      <c r="A7" s="42" t="s">
        <v>421</v>
      </c>
      <c r="B7" s="45">
        <v>45684</v>
      </c>
    </row>
    <row r="8" spans="1:2">
      <c r="A8" s="42" t="s">
        <v>422</v>
      </c>
      <c r="B8" s="45">
        <v>45685</v>
      </c>
    </row>
    <row r="9" spans="1:2">
      <c r="A9" s="42" t="s">
        <v>423</v>
      </c>
      <c r="B9" s="45">
        <v>45686</v>
      </c>
    </row>
    <row r="10" spans="1:2">
      <c r="A10" s="42" t="s">
        <v>422</v>
      </c>
      <c r="B10" s="45">
        <v>45687</v>
      </c>
    </row>
    <row r="11" spans="1:2">
      <c r="A11" s="42" t="s">
        <v>424</v>
      </c>
      <c r="B11" s="45">
        <v>45719</v>
      </c>
    </row>
    <row r="12" spans="1:2">
      <c r="A12" s="42" t="s">
        <v>425</v>
      </c>
      <c r="B12" s="45">
        <v>45782</v>
      </c>
    </row>
    <row r="13" spans="1:2">
      <c r="A13" s="42" t="s">
        <v>426</v>
      </c>
      <c r="B13" s="45">
        <v>45783</v>
      </c>
    </row>
    <row r="14" spans="1:2">
      <c r="A14" s="42" t="s">
        <v>427</v>
      </c>
      <c r="B14" s="45">
        <v>45811</v>
      </c>
    </row>
    <row r="15" spans="1:2">
      <c r="A15" s="42" t="s">
        <v>428</v>
      </c>
      <c r="B15" s="45">
        <v>45814</v>
      </c>
    </row>
    <row r="16" spans="1:2">
      <c r="A16" s="42" t="s">
        <v>429</v>
      </c>
      <c r="B16" s="45">
        <v>45884</v>
      </c>
    </row>
    <row r="17" spans="1:2">
      <c r="A17" s="42" t="s">
        <v>430</v>
      </c>
      <c r="B17" s="45">
        <v>45933</v>
      </c>
    </row>
    <row r="18" spans="1:2">
      <c r="A18" s="42" t="s">
        <v>431</v>
      </c>
      <c r="B18" s="45">
        <v>45936</v>
      </c>
    </row>
    <row r="19" spans="1:2">
      <c r="A19" s="42" t="s">
        <v>432</v>
      </c>
      <c r="B19" s="45">
        <v>45937</v>
      </c>
    </row>
    <row r="20" spans="1:2">
      <c r="A20" s="42" t="s">
        <v>433</v>
      </c>
      <c r="B20" s="45">
        <v>45938</v>
      </c>
    </row>
    <row r="21" spans="1:2">
      <c r="A21" s="42" t="s">
        <v>434</v>
      </c>
      <c r="B21" s="45">
        <v>45939</v>
      </c>
    </row>
    <row r="22" spans="1:2">
      <c r="A22" s="42" t="s">
        <v>435</v>
      </c>
      <c r="B22" s="45">
        <v>46016</v>
      </c>
    </row>
    <row r="23" spans="1:2">
      <c r="A23" s="42" t="s">
        <v>436</v>
      </c>
      <c r="B23" s="45">
        <v>46023</v>
      </c>
    </row>
    <row r="24" spans="1:2">
      <c r="A24" s="42" t="s">
        <v>437</v>
      </c>
      <c r="B24" s="45">
        <v>46069</v>
      </c>
    </row>
    <row r="25" spans="1:2">
      <c r="A25" s="42" t="s">
        <v>438</v>
      </c>
      <c r="B25" s="45">
        <v>46070</v>
      </c>
    </row>
    <row r="26" spans="1:2">
      <c r="A26" s="42" t="s">
        <v>437</v>
      </c>
      <c r="B26" s="45">
        <v>46071</v>
      </c>
    </row>
    <row r="27" spans="1:2">
      <c r="A27" s="42" t="s">
        <v>439</v>
      </c>
      <c r="B27" s="45">
        <v>46083</v>
      </c>
    </row>
    <row r="28" spans="1:2">
      <c r="A28" s="42" t="s">
        <v>440</v>
      </c>
      <c r="B28" s="45">
        <v>46147</v>
      </c>
    </row>
    <row r="29" spans="1:2">
      <c r="A29" s="42" t="s">
        <v>441</v>
      </c>
      <c r="B29" s="45">
        <v>46167</v>
      </c>
    </row>
    <row r="30" spans="1:2">
      <c r="A30" s="42" t="s">
        <v>442</v>
      </c>
      <c r="B30" s="45">
        <v>46176</v>
      </c>
    </row>
    <row r="31" spans="1:2">
      <c r="A31" s="42" t="s">
        <v>443</v>
      </c>
      <c r="B31" s="45">
        <v>46220</v>
      </c>
    </row>
    <row r="32" spans="1:2">
      <c r="A32" s="42" t="s">
        <v>444</v>
      </c>
      <c r="B32" s="45">
        <v>46251</v>
      </c>
    </row>
    <row r="33" spans="1:2">
      <c r="A33" s="42" t="s">
        <v>445</v>
      </c>
      <c r="B33" s="45">
        <v>46289</v>
      </c>
    </row>
    <row r="34" spans="1:2">
      <c r="A34" s="42" t="s">
        <v>446</v>
      </c>
      <c r="B34" s="45">
        <v>46290</v>
      </c>
    </row>
    <row r="35" spans="1:2">
      <c r="A35" s="42" t="s">
        <v>447</v>
      </c>
      <c r="B35" s="45">
        <v>46300</v>
      </c>
    </row>
    <row r="36" spans="1:2">
      <c r="A36" s="42" t="s">
        <v>448</v>
      </c>
      <c r="B36" s="45">
        <v>46304</v>
      </c>
    </row>
    <row r="37" spans="1:2">
      <c r="A37" s="42" t="s">
        <v>449</v>
      </c>
      <c r="B37" s="45">
        <v>46381</v>
      </c>
    </row>
    <row r="38" spans="1:2">
      <c r="A38" s="42" t="s">
        <v>450</v>
      </c>
      <c r="B38" s="45">
        <v>46388</v>
      </c>
    </row>
    <row r="39" spans="1:2">
      <c r="A39" s="42" t="s">
        <v>451</v>
      </c>
      <c r="B39" s="45">
        <v>46426</v>
      </c>
    </row>
    <row r="40" spans="1:2">
      <c r="A40" s="42" t="s">
        <v>452</v>
      </c>
      <c r="B40" s="45">
        <v>46427</v>
      </c>
    </row>
    <row r="41" spans="1:2">
      <c r="A41" s="42" t="s">
        <v>453</v>
      </c>
      <c r="B41" s="45">
        <v>46447</v>
      </c>
    </row>
    <row r="42" spans="1:2">
      <c r="A42" s="42" t="s">
        <v>454</v>
      </c>
      <c r="B42" s="45">
        <v>46512</v>
      </c>
    </row>
    <row r="43" spans="1:2">
      <c r="A43" s="42" t="s">
        <v>455</v>
      </c>
      <c r="B43" s="45">
        <v>46520</v>
      </c>
    </row>
    <row r="44" spans="1:2">
      <c r="A44" s="42" t="s">
        <v>456</v>
      </c>
      <c r="B44" s="45">
        <v>46615</v>
      </c>
    </row>
    <row r="45" spans="1:2">
      <c r="A45" s="42" t="s">
        <v>457</v>
      </c>
      <c r="B45" s="45">
        <v>46644</v>
      </c>
    </row>
    <row r="46" spans="1:2">
      <c r="A46" s="42" t="s">
        <v>458</v>
      </c>
      <c r="B46" s="45">
        <v>46645</v>
      </c>
    </row>
    <row r="47" spans="1:2">
      <c r="A47" s="42" t="s">
        <v>457</v>
      </c>
      <c r="B47" s="45">
        <v>46646</v>
      </c>
    </row>
    <row r="48" spans="1:2">
      <c r="A48" s="42" t="s">
        <v>459</v>
      </c>
      <c r="B48" s="45">
        <v>46664</v>
      </c>
    </row>
    <row r="49" spans="1:2">
      <c r="A49" s="42" t="s">
        <v>460</v>
      </c>
      <c r="B49" s="45">
        <v>46671</v>
      </c>
    </row>
    <row r="50" spans="1:2">
      <c r="A50" s="42" t="s">
        <v>461</v>
      </c>
      <c r="B50" s="45">
        <v>46748</v>
      </c>
    </row>
    <row r="51" spans="1:2">
      <c r="B51" s="2"/>
    </row>
    <row r="52" spans="1:2">
      <c r="B52" s="2"/>
    </row>
    <row r="53" spans="1:2">
      <c r="B53" s="2"/>
    </row>
    <row r="54" spans="1:2">
      <c r="B54" s="2"/>
    </row>
    <row r="55" spans="1:2">
      <c r="B55" s="2"/>
    </row>
    <row r="56" spans="1:2">
      <c r="B56" s="2"/>
    </row>
    <row r="57" spans="1:2">
      <c r="B57" s="2"/>
    </row>
    <row r="58" spans="1:2">
      <c r="B58" s="2"/>
    </row>
    <row r="59" spans="1:2">
      <c r="B59" s="2"/>
    </row>
    <row r="60" spans="1:2">
      <c r="B60" s="2"/>
    </row>
    <row r="61" spans="1:2">
      <c r="B61" s="2"/>
    </row>
    <row r="62" spans="1:2">
      <c r="B62" s="2"/>
    </row>
    <row r="63" spans="1:2">
      <c r="B63" s="2"/>
    </row>
    <row r="64" spans="1:2">
      <c r="B64" s="2"/>
    </row>
    <row r="65" spans="2:2">
      <c r="B65" s="2"/>
    </row>
    <row r="66" spans="2:2">
      <c r="B66" s="2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2"/>
    </row>
    <row r="74" spans="2:2">
      <c r="B74" s="2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2"/>
    </row>
    <row r="80" spans="2:2">
      <c r="B80" s="2"/>
    </row>
    <row r="81" spans="2:2">
      <c r="B81" s="2"/>
    </row>
    <row r="82" spans="2:2">
      <c r="B82" s="2"/>
    </row>
    <row r="83" spans="2:2">
      <c r="B83" s="2"/>
    </row>
    <row r="84" spans="2:2">
      <c r="B84" s="2"/>
    </row>
    <row r="85" spans="2:2">
      <c r="B85" s="2"/>
    </row>
    <row r="86" spans="2:2">
      <c r="B86" s="2"/>
    </row>
    <row r="87" spans="2:2">
      <c r="B87" s="2"/>
    </row>
    <row r="88" spans="2:2">
      <c r="B88" s="2"/>
    </row>
    <row r="89" spans="2:2">
      <c r="B89" s="2"/>
    </row>
    <row r="90" spans="2:2">
      <c r="B90" s="2"/>
    </row>
    <row r="91" spans="2:2">
      <c r="B91" s="2"/>
    </row>
    <row r="92" spans="2:2">
      <c r="B92" s="2"/>
    </row>
    <row r="93" spans="2:2">
      <c r="B93" s="2"/>
    </row>
    <row r="94" spans="2:2">
      <c r="B94" s="2"/>
    </row>
    <row r="95" spans="2:2">
      <c r="B95" s="2"/>
    </row>
    <row r="96" spans="2:2">
      <c r="B96" s="2"/>
    </row>
    <row r="97" spans="2:2">
      <c r="B97" s="2"/>
    </row>
    <row r="98" spans="2:2">
      <c r="B98" s="2"/>
    </row>
    <row r="99" spans="2:2">
      <c r="B99" s="2"/>
    </row>
    <row r="100" spans="2:2">
      <c r="B100" s="2"/>
    </row>
    <row r="101" spans="2:2">
      <c r="B101" s="2"/>
    </row>
    <row r="102" spans="2:2">
      <c r="B102" s="2"/>
    </row>
    <row r="103" spans="2:2">
      <c r="B103" s="2"/>
    </row>
    <row r="104" spans="2:2">
      <c r="B104" s="2"/>
    </row>
    <row r="105" spans="2:2">
      <c r="B105" s="2"/>
    </row>
    <row r="106" spans="2:2">
      <c r="B106" s="2"/>
    </row>
    <row r="107" spans="2:2">
      <c r="B107" s="2"/>
    </row>
    <row r="108" spans="2:2">
      <c r="B108" s="2"/>
    </row>
    <row r="109" spans="2:2">
      <c r="B109" s="2"/>
    </row>
    <row r="110" spans="2:2">
      <c r="B110" s="2"/>
    </row>
    <row r="111" spans="2:2">
      <c r="B111" s="2"/>
    </row>
    <row r="112" spans="2:2">
      <c r="B112" s="2"/>
    </row>
    <row r="113" spans="2:2">
      <c r="B113" s="2"/>
    </row>
    <row r="114" spans="2:2">
      <c r="B114" s="2"/>
    </row>
    <row r="115" spans="2:2">
      <c r="B115" s="2"/>
    </row>
    <row r="116" spans="2:2">
      <c r="B116" s="2"/>
    </row>
    <row r="117" spans="2:2">
      <c r="B117" s="2"/>
    </row>
    <row r="118" spans="2:2">
      <c r="B118" s="2"/>
    </row>
    <row r="119" spans="2:2">
      <c r="B119" s="2"/>
    </row>
    <row r="120" spans="2:2">
      <c r="B120" s="2"/>
    </row>
    <row r="121" spans="2:2">
      <c r="B121" s="2"/>
    </row>
    <row r="122" spans="2:2">
      <c r="B122" s="2"/>
    </row>
    <row r="123" spans="2:2">
      <c r="B123" s="2"/>
    </row>
    <row r="124" spans="2:2">
      <c r="B124" s="2"/>
    </row>
    <row r="125" spans="2:2">
      <c r="B125" s="2"/>
    </row>
    <row r="126" spans="2:2">
      <c r="B126" s="2"/>
    </row>
    <row r="127" spans="2:2">
      <c r="B127" s="2"/>
    </row>
    <row r="128" spans="2:2">
      <c r="B128" s="2"/>
    </row>
    <row r="129" spans="2:2">
      <c r="B129" s="2"/>
    </row>
    <row r="130" spans="2:2">
      <c r="B130" s="2"/>
    </row>
    <row r="131" spans="2:2">
      <c r="B131" s="2"/>
    </row>
    <row r="132" spans="2:2">
      <c r="B132" s="2"/>
    </row>
    <row r="133" spans="2:2">
      <c r="B133" s="2"/>
    </row>
    <row r="134" spans="2:2">
      <c r="B134" s="2"/>
    </row>
    <row r="135" spans="2:2">
      <c r="B135" s="2"/>
    </row>
    <row r="136" spans="2:2">
      <c r="B136" s="2"/>
    </row>
    <row r="137" spans="2:2">
      <c r="B137" s="2"/>
    </row>
    <row r="138" spans="2:2">
      <c r="B138" s="2"/>
    </row>
    <row r="139" spans="2:2">
      <c r="B139" s="2"/>
    </row>
    <row r="140" spans="2:2">
      <c r="B140" s="2"/>
    </row>
    <row r="141" spans="2:2">
      <c r="B141" s="2"/>
    </row>
    <row r="142" spans="2:2">
      <c r="B142" s="2"/>
    </row>
    <row r="143" spans="2:2">
      <c r="B143" s="2"/>
    </row>
    <row r="144" spans="2:2">
      <c r="B144" s="2"/>
    </row>
    <row r="145" spans="2:2">
      <c r="B145" s="2"/>
    </row>
    <row r="146" spans="2:2">
      <c r="B146" s="2"/>
    </row>
    <row r="147" spans="2:2">
      <c r="B147" s="2"/>
    </row>
    <row r="148" spans="2:2">
      <c r="B148" s="2"/>
    </row>
    <row r="149" spans="2:2">
      <c r="B149" s="2"/>
    </row>
    <row r="150" spans="2:2">
      <c r="B150" s="2"/>
    </row>
    <row r="151" spans="2:2">
      <c r="B151" s="2"/>
    </row>
    <row r="152" spans="2:2">
      <c r="B152" s="2"/>
    </row>
    <row r="153" spans="2:2">
      <c r="B153" s="2"/>
    </row>
    <row r="154" spans="2:2">
      <c r="B154" s="2"/>
    </row>
    <row r="155" spans="2:2">
      <c r="B155" s="2"/>
    </row>
    <row r="156" spans="2:2">
      <c r="B156" s="2"/>
    </row>
    <row r="157" spans="2:2">
      <c r="B157" s="2"/>
    </row>
    <row r="158" spans="2:2">
      <c r="B158" s="2"/>
    </row>
    <row r="159" spans="2:2">
      <c r="B159" s="2"/>
    </row>
    <row r="160" spans="2:2">
      <c r="B160" s="2"/>
    </row>
    <row r="161" spans="2:2">
      <c r="B161" s="2"/>
    </row>
    <row r="162" spans="2:2">
      <c r="B162" s="2"/>
    </row>
    <row r="163" spans="2:2">
      <c r="B163" s="2"/>
    </row>
    <row r="164" spans="2:2">
      <c r="B164" s="2"/>
    </row>
    <row r="165" spans="2:2">
      <c r="B165" s="2"/>
    </row>
    <row r="166" spans="2:2">
      <c r="B166" s="2"/>
    </row>
    <row r="167" spans="2:2">
      <c r="B167" s="2"/>
    </row>
    <row r="168" spans="2:2">
      <c r="B168" s="2"/>
    </row>
    <row r="169" spans="2:2">
      <c r="B169" s="2"/>
    </row>
    <row r="170" spans="2:2">
      <c r="B170" s="2"/>
    </row>
    <row r="171" spans="2:2">
      <c r="B171" s="2"/>
    </row>
    <row r="172" spans="2:2">
      <c r="B172" s="2"/>
    </row>
    <row r="173" spans="2:2">
      <c r="B173" s="2"/>
    </row>
    <row r="174" spans="2:2">
      <c r="B174" s="2"/>
    </row>
    <row r="175" spans="2:2">
      <c r="B175" s="2"/>
    </row>
    <row r="176" spans="2:2">
      <c r="B176" s="2"/>
    </row>
    <row r="177" spans="2:2">
      <c r="B177" s="2"/>
    </row>
    <row r="178" spans="2:2">
      <c r="B178" s="2"/>
    </row>
    <row r="179" spans="2:2">
      <c r="B179" s="2"/>
    </row>
    <row r="180" spans="2:2">
      <c r="B180" s="2"/>
    </row>
    <row r="181" spans="2:2">
      <c r="B181" s="2"/>
    </row>
    <row r="182" spans="2:2">
      <c r="B182" s="2"/>
    </row>
    <row r="183" spans="2:2">
      <c r="B183" s="2"/>
    </row>
    <row r="184" spans="2:2">
      <c r="B184" s="2"/>
    </row>
    <row r="185" spans="2:2">
      <c r="B185" s="2"/>
    </row>
    <row r="186" spans="2:2">
      <c r="B186" s="2"/>
    </row>
    <row r="187" spans="2:2">
      <c r="B187" s="2"/>
    </row>
    <row r="188" spans="2:2">
      <c r="B188" s="2"/>
    </row>
    <row r="189" spans="2:2">
      <c r="B189" s="2"/>
    </row>
    <row r="190" spans="2:2">
      <c r="B190" s="2"/>
    </row>
    <row r="191" spans="2:2">
      <c r="B191" s="2"/>
    </row>
    <row r="192" spans="2:2">
      <c r="B192" s="2"/>
    </row>
    <row r="193" spans="2:2">
      <c r="B193" s="2"/>
    </row>
    <row r="194" spans="2:2">
      <c r="B194" s="2"/>
    </row>
    <row r="195" spans="2:2">
      <c r="B195" s="2"/>
    </row>
    <row r="196" spans="2:2">
      <c r="B196" s="2"/>
    </row>
    <row r="197" spans="2:2">
      <c r="B197" s="2"/>
    </row>
    <row r="198" spans="2:2">
      <c r="B198" s="2"/>
    </row>
    <row r="199" spans="2:2">
      <c r="B199" s="2"/>
    </row>
    <row r="200" spans="2:2">
      <c r="B200" s="2"/>
    </row>
    <row r="201" spans="2:2">
      <c r="B201" s="2"/>
    </row>
    <row r="202" spans="2:2">
      <c r="B202" s="2"/>
    </row>
    <row r="203" spans="2:2">
      <c r="B203" s="2"/>
    </row>
    <row r="204" spans="2:2">
      <c r="B204" s="2"/>
    </row>
    <row r="205" spans="2:2">
      <c r="B205" s="2"/>
    </row>
    <row r="206" spans="2:2">
      <c r="B206" s="2"/>
    </row>
    <row r="207" spans="2:2">
      <c r="B207" s="2"/>
    </row>
    <row r="208" spans="2:2">
      <c r="B208" s="2"/>
    </row>
    <row r="209" spans="2:2">
      <c r="B209" s="2"/>
    </row>
    <row r="210" spans="2:2">
      <c r="B210" s="2"/>
    </row>
    <row r="211" spans="2:2">
      <c r="B211" s="2"/>
    </row>
    <row r="212" spans="2:2">
      <c r="B212" s="2"/>
    </row>
    <row r="213" spans="2:2">
      <c r="B213" s="2"/>
    </row>
    <row r="214" spans="2:2">
      <c r="B214" s="2"/>
    </row>
    <row r="215" spans="2:2">
      <c r="B215" s="2"/>
    </row>
    <row r="216" spans="2:2">
      <c r="B216" s="2"/>
    </row>
    <row r="217" spans="2:2">
      <c r="B217" s="2"/>
    </row>
    <row r="218" spans="2:2">
      <c r="B218" s="2"/>
    </row>
    <row r="219" spans="2:2">
      <c r="B219" s="2"/>
    </row>
    <row r="220" spans="2:2">
      <c r="B220" s="2"/>
    </row>
    <row r="221" spans="2:2">
      <c r="B221" s="2"/>
    </row>
    <row r="222" spans="2:2">
      <c r="B222" s="2"/>
    </row>
    <row r="223" spans="2:2">
      <c r="B223" s="2"/>
    </row>
    <row r="224" spans="2:2">
      <c r="B224" s="2"/>
    </row>
    <row r="225" spans="2:2">
      <c r="B225" s="2"/>
    </row>
    <row r="226" spans="2:2">
      <c r="B226" s="2"/>
    </row>
    <row r="227" spans="2:2">
      <c r="B227" s="2"/>
    </row>
    <row r="228" spans="2:2">
      <c r="B228" s="2"/>
    </row>
    <row r="229" spans="2:2">
      <c r="B229" s="2"/>
    </row>
    <row r="230" spans="2:2">
      <c r="B230" s="2"/>
    </row>
    <row r="231" spans="2:2">
      <c r="B231" s="2"/>
    </row>
    <row r="232" spans="2:2">
      <c r="B232" s="2"/>
    </row>
    <row r="233" spans="2:2">
      <c r="B233" s="2"/>
    </row>
    <row r="234" spans="2:2">
      <c r="B234" s="2"/>
    </row>
    <row r="235" spans="2:2">
      <c r="B235" s="2"/>
    </row>
    <row r="236" spans="2:2">
      <c r="B236" s="2"/>
    </row>
    <row r="237" spans="2:2">
      <c r="B237" s="2"/>
    </row>
    <row r="238" spans="2:2">
      <c r="B238" s="2"/>
    </row>
    <row r="239" spans="2:2">
      <c r="B239" s="2"/>
    </row>
    <row r="240" spans="2:2">
      <c r="B240" s="2"/>
    </row>
    <row r="241" spans="2:2">
      <c r="B241" s="2"/>
    </row>
    <row r="242" spans="2:2">
      <c r="B242" s="2"/>
    </row>
    <row r="243" spans="2:2">
      <c r="B243" s="2"/>
    </row>
    <row r="244" spans="2:2">
      <c r="B244" s="2"/>
    </row>
    <row r="245" spans="2:2">
      <c r="B245" s="2"/>
    </row>
    <row r="246" spans="2:2">
      <c r="B246" s="2"/>
    </row>
    <row r="247" spans="2:2">
      <c r="B247" s="2"/>
    </row>
    <row r="248" spans="2:2">
      <c r="B248" s="2"/>
    </row>
    <row r="249" spans="2:2">
      <c r="B249" s="2"/>
    </row>
    <row r="250" spans="2:2">
      <c r="B250" s="2"/>
    </row>
    <row r="251" spans="2:2">
      <c r="B251" s="2"/>
    </row>
    <row r="252" spans="2:2">
      <c r="B252" s="2"/>
    </row>
    <row r="253" spans="2:2">
      <c r="B253" s="2"/>
    </row>
    <row r="254" spans="2:2">
      <c r="B254" s="2"/>
    </row>
    <row r="255" spans="2:2">
      <c r="B255" s="2"/>
    </row>
    <row r="256" spans="2:2">
      <c r="B256" s="2"/>
    </row>
    <row r="257" spans="2:2">
      <c r="B257" s="2"/>
    </row>
    <row r="258" spans="2:2">
      <c r="B258" s="2"/>
    </row>
    <row r="259" spans="2:2">
      <c r="B259" s="2"/>
    </row>
    <row r="260" spans="2:2">
      <c r="B260" s="2"/>
    </row>
    <row r="261" spans="2:2">
      <c r="B261" s="2"/>
    </row>
    <row r="262" spans="2:2">
      <c r="B262" s="2"/>
    </row>
    <row r="263" spans="2:2">
      <c r="B263" s="2"/>
    </row>
    <row r="264" spans="2:2">
      <c r="B264" s="2"/>
    </row>
    <row r="265" spans="2:2">
      <c r="B265" s="2"/>
    </row>
    <row r="266" spans="2:2">
      <c r="B266" s="2"/>
    </row>
    <row r="267" spans="2:2">
      <c r="B267" s="2"/>
    </row>
    <row r="268" spans="2:2">
      <c r="B268" s="2"/>
    </row>
    <row r="269" spans="2:2">
      <c r="B269" s="2"/>
    </row>
    <row r="270" spans="2:2">
      <c r="B270" s="2"/>
    </row>
    <row r="271" spans="2:2">
      <c r="B271" s="2"/>
    </row>
    <row r="272" spans="2:2">
      <c r="B272" s="2"/>
    </row>
    <row r="273" spans="2:2">
      <c r="B273" s="2"/>
    </row>
    <row r="274" spans="2:2">
      <c r="B274" s="2"/>
    </row>
    <row r="275" spans="2:2">
      <c r="B275" s="2"/>
    </row>
    <row r="276" spans="2:2">
      <c r="B276" s="2"/>
    </row>
    <row r="277" spans="2:2">
      <c r="B277" s="2"/>
    </row>
    <row r="278" spans="2:2">
      <c r="B278" s="2"/>
    </row>
    <row r="279" spans="2:2">
      <c r="B279" s="2"/>
    </row>
    <row r="280" spans="2:2">
      <c r="B280" s="2"/>
    </row>
    <row r="281" spans="2:2">
      <c r="B281" s="2"/>
    </row>
    <row r="282" spans="2:2">
      <c r="B282" s="2"/>
    </row>
    <row r="283" spans="2:2">
      <c r="B283" s="2"/>
    </row>
    <row r="284" spans="2:2">
      <c r="B284" s="2"/>
    </row>
    <row r="285" spans="2:2">
      <c r="B285" s="2"/>
    </row>
    <row r="286" spans="2:2">
      <c r="B286" s="2"/>
    </row>
    <row r="287" spans="2:2">
      <c r="B287" s="2"/>
    </row>
    <row r="288" spans="2:2">
      <c r="B288" s="2"/>
    </row>
    <row r="289" spans="2:2">
      <c r="B289" s="2"/>
    </row>
    <row r="290" spans="2:2">
      <c r="B290" s="2"/>
    </row>
    <row r="291" spans="2:2">
      <c r="B291" s="2"/>
    </row>
    <row r="292" spans="2:2">
      <c r="B292" s="2"/>
    </row>
    <row r="293" spans="2:2">
      <c r="B293" s="2"/>
    </row>
    <row r="294" spans="2:2">
      <c r="B294" s="2"/>
    </row>
    <row r="295" spans="2:2">
      <c r="B295" s="2"/>
    </row>
    <row r="296" spans="2:2">
      <c r="B296" s="2"/>
    </row>
    <row r="297" spans="2:2">
      <c r="B297" s="2"/>
    </row>
    <row r="298" spans="2:2">
      <c r="B298" s="2"/>
    </row>
    <row r="299" spans="2:2">
      <c r="B299" s="2"/>
    </row>
    <row r="300" spans="2:2">
      <c r="B300" s="2"/>
    </row>
    <row r="301" spans="2:2">
      <c r="B301" s="2"/>
    </row>
    <row r="302" spans="2:2">
      <c r="B302" s="2"/>
    </row>
    <row r="303" spans="2:2">
      <c r="B303" s="2"/>
    </row>
    <row r="304" spans="2:2">
      <c r="B304" s="2"/>
    </row>
    <row r="305" spans="2:2">
      <c r="B305" s="2"/>
    </row>
    <row r="306" spans="2:2">
      <c r="B306" s="2"/>
    </row>
    <row r="307" spans="2:2">
      <c r="B307" s="2"/>
    </row>
    <row r="308" spans="2:2">
      <c r="B308" s="2"/>
    </row>
    <row r="309" spans="2:2">
      <c r="B309" s="2"/>
    </row>
    <row r="310" spans="2:2">
      <c r="B310" s="2"/>
    </row>
    <row r="311" spans="2:2">
      <c r="B311" s="2"/>
    </row>
    <row r="312" spans="2:2">
      <c r="B312" s="2"/>
    </row>
    <row r="313" spans="2:2">
      <c r="B313" s="2"/>
    </row>
    <row r="314" spans="2:2">
      <c r="B314" s="2"/>
    </row>
    <row r="315" spans="2:2">
      <c r="B315" s="2"/>
    </row>
    <row r="316" spans="2:2">
      <c r="B316" s="2"/>
    </row>
    <row r="317" spans="2:2">
      <c r="B317" s="2"/>
    </row>
    <row r="318" spans="2:2">
      <c r="B318" s="2"/>
    </row>
    <row r="319" spans="2:2">
      <c r="B319" s="2"/>
    </row>
    <row r="320" spans="2:2">
      <c r="B320" s="2"/>
    </row>
    <row r="321" spans="2:2">
      <c r="B321" s="2"/>
    </row>
    <row r="322" spans="2:2">
      <c r="B322" s="2"/>
    </row>
    <row r="323" spans="2:2">
      <c r="B323" s="2"/>
    </row>
    <row r="324" spans="2:2">
      <c r="B324" s="2"/>
    </row>
    <row r="325" spans="2:2">
      <c r="B325" s="2"/>
    </row>
    <row r="326" spans="2:2">
      <c r="B326" s="2"/>
    </row>
    <row r="327" spans="2:2">
      <c r="B327" s="2"/>
    </row>
    <row r="328" spans="2:2">
      <c r="B328" s="2"/>
    </row>
    <row r="329" spans="2:2">
      <c r="B329" s="2"/>
    </row>
    <row r="330" spans="2:2">
      <c r="B330" s="2"/>
    </row>
    <row r="331" spans="2:2">
      <c r="B331" s="2"/>
    </row>
    <row r="332" spans="2:2">
      <c r="B332" s="2"/>
    </row>
    <row r="333" spans="2:2">
      <c r="B333" s="2"/>
    </row>
    <row r="334" spans="2:2">
      <c r="B334" s="2"/>
    </row>
    <row r="335" spans="2:2">
      <c r="B335" s="2"/>
    </row>
    <row r="336" spans="2:2">
      <c r="B336" s="2"/>
    </row>
    <row r="337" spans="2:2">
      <c r="B337" s="2"/>
    </row>
    <row r="338" spans="2:2">
      <c r="B338" s="2"/>
    </row>
    <row r="339" spans="2:2">
      <c r="B339" s="2"/>
    </row>
    <row r="340" spans="2:2">
      <c r="B340" s="2"/>
    </row>
    <row r="341" spans="2:2">
      <c r="B341" s="2"/>
    </row>
    <row r="342" spans="2:2">
      <c r="B342" s="2"/>
    </row>
    <row r="343" spans="2:2">
      <c r="B343" s="2"/>
    </row>
    <row r="344" spans="2:2">
      <c r="B344" s="2"/>
    </row>
    <row r="345" spans="2:2">
      <c r="B345" s="2"/>
    </row>
    <row r="346" spans="2:2">
      <c r="B346" s="2"/>
    </row>
    <row r="347" spans="2:2">
      <c r="B347" s="2"/>
    </row>
    <row r="348" spans="2:2">
      <c r="B348" s="2"/>
    </row>
    <row r="349" spans="2:2">
      <c r="B349" s="2"/>
    </row>
    <row r="350" spans="2:2">
      <c r="B350" s="2"/>
    </row>
    <row r="351" spans="2:2">
      <c r="B351" s="2"/>
    </row>
    <row r="352" spans="2:2">
      <c r="B352" s="2"/>
    </row>
    <row r="353" spans="2:2">
      <c r="B353" s="2"/>
    </row>
    <row r="354" spans="2:2">
      <c r="B354" s="2"/>
    </row>
    <row r="355" spans="2:2">
      <c r="B355" s="2"/>
    </row>
    <row r="356" spans="2:2">
      <c r="B356" s="2"/>
    </row>
    <row r="357" spans="2:2">
      <c r="B357" s="2"/>
    </row>
    <row r="358" spans="2:2">
      <c r="B358" s="2"/>
    </row>
    <row r="359" spans="2:2">
      <c r="B359" s="2"/>
    </row>
    <row r="360" spans="2:2">
      <c r="B360" s="2"/>
    </row>
    <row r="361" spans="2:2">
      <c r="B361" s="2"/>
    </row>
    <row r="362" spans="2:2">
      <c r="B362" s="2"/>
    </row>
    <row r="363" spans="2:2">
      <c r="B363" s="2"/>
    </row>
    <row r="364" spans="2:2">
      <c r="B364" s="2"/>
    </row>
    <row r="365" spans="2:2">
      <c r="B365" s="2"/>
    </row>
    <row r="366" spans="2:2">
      <c r="B366" s="2"/>
    </row>
    <row r="367" spans="2:2">
      <c r="B367" s="2"/>
    </row>
    <row r="368" spans="2:2">
      <c r="B368" s="2"/>
    </row>
    <row r="369" spans="2:2">
      <c r="B369" s="2"/>
    </row>
    <row r="370" spans="2:2">
      <c r="B370" s="2"/>
    </row>
    <row r="371" spans="2:2">
      <c r="B371" s="2"/>
    </row>
    <row r="372" spans="2:2">
      <c r="B372" s="2"/>
    </row>
    <row r="373" spans="2:2">
      <c r="B373" s="2"/>
    </row>
    <row r="374" spans="2:2">
      <c r="B374" s="2"/>
    </row>
    <row r="375" spans="2:2">
      <c r="B375" s="2"/>
    </row>
    <row r="376" spans="2:2">
      <c r="B376" s="2"/>
    </row>
    <row r="377" spans="2:2">
      <c r="B377" s="2"/>
    </row>
    <row r="378" spans="2:2">
      <c r="B378" s="2"/>
    </row>
    <row r="379" spans="2:2">
      <c r="B379" s="2"/>
    </row>
    <row r="380" spans="2:2">
      <c r="B380" s="2"/>
    </row>
    <row r="381" spans="2:2">
      <c r="B381" s="2"/>
    </row>
    <row r="382" spans="2:2">
      <c r="B382" s="2"/>
    </row>
    <row r="383" spans="2:2">
      <c r="B383" s="2"/>
    </row>
    <row r="384" spans="2:2">
      <c r="B384" s="2"/>
    </row>
    <row r="385" spans="2:2">
      <c r="B385" s="2"/>
    </row>
    <row r="386" spans="2:2">
      <c r="B386" s="2"/>
    </row>
    <row r="387" spans="2:2">
      <c r="B387" s="2"/>
    </row>
    <row r="388" spans="2:2">
      <c r="B388" s="2"/>
    </row>
    <row r="389" spans="2:2">
      <c r="B389" s="2"/>
    </row>
    <row r="390" spans="2:2">
      <c r="B390" s="2"/>
    </row>
    <row r="391" spans="2:2">
      <c r="B391" s="2"/>
    </row>
    <row r="392" spans="2:2">
      <c r="B392" s="2"/>
    </row>
    <row r="393" spans="2:2">
      <c r="B393" s="2"/>
    </row>
    <row r="394" spans="2:2">
      <c r="B394" s="2"/>
    </row>
    <row r="395" spans="2:2">
      <c r="B395" s="2"/>
    </row>
    <row r="396" spans="2:2">
      <c r="B396" s="2"/>
    </row>
    <row r="397" spans="2:2">
      <c r="B397" s="2"/>
    </row>
    <row r="398" spans="2:2">
      <c r="B398" s="2"/>
    </row>
    <row r="399" spans="2:2">
      <c r="B399" s="2"/>
    </row>
    <row r="400" spans="2:2">
      <c r="B400" s="2"/>
    </row>
    <row r="401" spans="2:2">
      <c r="B401" s="2"/>
    </row>
    <row r="402" spans="2:2">
      <c r="B402" s="2"/>
    </row>
    <row r="403" spans="2:2">
      <c r="B403" s="2"/>
    </row>
    <row r="404" spans="2:2">
      <c r="B404" s="2"/>
    </row>
    <row r="405" spans="2:2">
      <c r="B405" s="2"/>
    </row>
    <row r="406" spans="2:2">
      <c r="B406" s="2"/>
    </row>
    <row r="407" spans="2:2">
      <c r="B407" s="2"/>
    </row>
    <row r="408" spans="2:2">
      <c r="B408" s="2"/>
    </row>
    <row r="409" spans="2:2">
      <c r="B409" s="2"/>
    </row>
    <row r="410" spans="2:2">
      <c r="B410" s="2"/>
    </row>
    <row r="411" spans="2:2">
      <c r="B411" s="2"/>
    </row>
    <row r="412" spans="2:2">
      <c r="B412" s="2"/>
    </row>
    <row r="413" spans="2:2">
      <c r="B413" s="2"/>
    </row>
    <row r="414" spans="2:2">
      <c r="B414" s="2"/>
    </row>
    <row r="415" spans="2:2">
      <c r="B415" s="2"/>
    </row>
    <row r="416" spans="2:2">
      <c r="B416" s="2"/>
    </row>
    <row r="417" spans="2:2">
      <c r="B417" s="2"/>
    </row>
    <row r="418" spans="2:2">
      <c r="B418" s="2"/>
    </row>
    <row r="419" spans="2:2">
      <c r="B419" s="2"/>
    </row>
    <row r="420" spans="2:2">
      <c r="B420" s="2"/>
    </row>
    <row r="421" spans="2:2">
      <c r="B421" s="2"/>
    </row>
    <row r="422" spans="2:2">
      <c r="B422" s="2"/>
    </row>
    <row r="423" spans="2:2">
      <c r="B423" s="2"/>
    </row>
    <row r="424" spans="2:2">
      <c r="B424" s="2"/>
    </row>
    <row r="425" spans="2:2">
      <c r="B425" s="2"/>
    </row>
    <row r="426" spans="2:2">
      <c r="B426" s="2"/>
    </row>
    <row r="427" spans="2:2">
      <c r="B427" s="2"/>
    </row>
    <row r="428" spans="2:2">
      <c r="B428" s="2"/>
    </row>
    <row r="429" spans="2:2">
      <c r="B429" s="2"/>
    </row>
    <row r="430" spans="2:2">
      <c r="B430" s="2"/>
    </row>
    <row r="431" spans="2:2">
      <c r="B431" s="2"/>
    </row>
    <row r="432" spans="2:2">
      <c r="B432" s="2"/>
    </row>
    <row r="433" spans="2:2">
      <c r="B433" s="2"/>
    </row>
    <row r="434" spans="2:2">
      <c r="B434" s="2"/>
    </row>
    <row r="435" spans="2:2">
      <c r="B435" s="2"/>
    </row>
    <row r="436" spans="2:2">
      <c r="B436" s="2"/>
    </row>
    <row r="437" spans="2:2">
      <c r="B437" s="2"/>
    </row>
    <row r="438" spans="2:2">
      <c r="B438" s="2"/>
    </row>
    <row r="439" spans="2:2">
      <c r="B439" s="2"/>
    </row>
    <row r="440" spans="2:2">
      <c r="B440" s="2"/>
    </row>
    <row r="441" spans="2:2">
      <c r="B441" s="2"/>
    </row>
    <row r="442" spans="2:2">
      <c r="B442" s="2"/>
    </row>
    <row r="443" spans="2:2">
      <c r="B443" s="2"/>
    </row>
    <row r="444" spans="2:2">
      <c r="B444" s="2"/>
    </row>
    <row r="445" spans="2:2">
      <c r="B445" s="2"/>
    </row>
    <row r="446" spans="2:2">
      <c r="B446" s="2"/>
    </row>
    <row r="447" spans="2:2">
      <c r="B447" s="2"/>
    </row>
    <row r="448" spans="2:2">
      <c r="B448" s="2"/>
    </row>
    <row r="449" spans="2:2">
      <c r="B449" s="2"/>
    </row>
    <row r="450" spans="2:2">
      <c r="B450" s="2"/>
    </row>
    <row r="451" spans="2:2">
      <c r="B451" s="2"/>
    </row>
    <row r="452" spans="2:2">
      <c r="B452" s="2"/>
    </row>
    <row r="453" spans="2:2">
      <c r="B453" s="2"/>
    </row>
    <row r="454" spans="2:2">
      <c r="B454" s="2"/>
    </row>
    <row r="455" spans="2:2">
      <c r="B455" s="2"/>
    </row>
    <row r="456" spans="2:2">
      <c r="B456" s="2"/>
    </row>
    <row r="457" spans="2:2">
      <c r="B457" s="2"/>
    </row>
    <row r="458" spans="2:2">
      <c r="B458" s="2"/>
    </row>
    <row r="459" spans="2:2">
      <c r="B459" s="2"/>
    </row>
    <row r="460" spans="2:2">
      <c r="B460" s="2"/>
    </row>
    <row r="461" spans="2:2">
      <c r="B461" s="2"/>
    </row>
    <row r="462" spans="2:2">
      <c r="B462" s="2"/>
    </row>
    <row r="463" spans="2:2">
      <c r="B463" s="2"/>
    </row>
    <row r="464" spans="2:2">
      <c r="B464" s="2"/>
    </row>
    <row r="465" spans="2:2">
      <c r="B465" s="2"/>
    </row>
    <row r="466" spans="2:2">
      <c r="B466" s="2"/>
    </row>
    <row r="467" spans="2:2">
      <c r="B467" s="2"/>
    </row>
    <row r="468" spans="2:2">
      <c r="B468" s="2"/>
    </row>
    <row r="469" spans="2:2">
      <c r="B469" s="2"/>
    </row>
    <row r="470" spans="2:2">
      <c r="B470" s="2"/>
    </row>
    <row r="471" spans="2:2">
      <c r="B471" s="2"/>
    </row>
    <row r="472" spans="2:2">
      <c r="B472" s="2"/>
    </row>
    <row r="473" spans="2:2">
      <c r="B473" s="2"/>
    </row>
    <row r="474" spans="2:2">
      <c r="B474" s="2"/>
    </row>
    <row r="475" spans="2:2">
      <c r="B475" s="2"/>
    </row>
    <row r="476" spans="2:2">
      <c r="B476" s="2"/>
    </row>
    <row r="477" spans="2:2">
      <c r="B477" s="2"/>
    </row>
    <row r="478" spans="2:2">
      <c r="B478" s="2"/>
    </row>
    <row r="479" spans="2:2">
      <c r="B479" s="2"/>
    </row>
    <row r="480" spans="2:2">
      <c r="B480" s="2"/>
    </row>
    <row r="481" spans="2:2">
      <c r="B481" s="2"/>
    </row>
    <row r="482" spans="2:2">
      <c r="B482" s="2"/>
    </row>
    <row r="483" spans="2:2">
      <c r="B483" s="2"/>
    </row>
    <row r="484" spans="2:2">
      <c r="B484" s="2"/>
    </row>
    <row r="485" spans="2:2">
      <c r="B485" s="2"/>
    </row>
    <row r="486" spans="2:2">
      <c r="B486" s="2"/>
    </row>
    <row r="487" spans="2:2">
      <c r="B487" s="2"/>
    </row>
    <row r="488" spans="2:2">
      <c r="B488" s="2"/>
    </row>
    <row r="489" spans="2:2">
      <c r="B489" s="2"/>
    </row>
    <row r="490" spans="2:2">
      <c r="B490" s="2"/>
    </row>
    <row r="491" spans="2:2">
      <c r="B491" s="2"/>
    </row>
    <row r="492" spans="2:2">
      <c r="B492" s="2"/>
    </row>
    <row r="493" spans="2:2">
      <c r="B493" s="2"/>
    </row>
    <row r="494" spans="2:2">
      <c r="B494" s="2"/>
    </row>
    <row r="495" spans="2:2">
      <c r="B495" s="2"/>
    </row>
    <row r="496" spans="2:2">
      <c r="B496" s="2"/>
    </row>
    <row r="497" spans="2:2">
      <c r="B497" s="2"/>
    </row>
    <row r="498" spans="2:2">
      <c r="B498" s="2"/>
    </row>
    <row r="499" spans="2:2">
      <c r="B499" s="2"/>
    </row>
    <row r="500" spans="2:2">
      <c r="B500" s="2"/>
    </row>
    <row r="501" spans="2:2">
      <c r="B501" s="2"/>
    </row>
    <row r="502" spans="2:2">
      <c r="B502" s="2"/>
    </row>
    <row r="503" spans="2:2">
      <c r="B503" s="2"/>
    </row>
    <row r="504" spans="2:2">
      <c r="B504" s="2"/>
    </row>
    <row r="505" spans="2:2">
      <c r="B505" s="2"/>
    </row>
    <row r="506" spans="2:2">
      <c r="B506" s="2"/>
    </row>
    <row r="507" spans="2:2">
      <c r="B507" s="2"/>
    </row>
    <row r="508" spans="2:2">
      <c r="B508" s="2"/>
    </row>
    <row r="509" spans="2:2">
      <c r="B509" s="2"/>
    </row>
    <row r="510" spans="2:2">
      <c r="B510" s="2"/>
    </row>
    <row r="511" spans="2:2">
      <c r="B511" s="2"/>
    </row>
    <row r="512" spans="2:2">
      <c r="B512" s="2"/>
    </row>
    <row r="513" spans="2:2">
      <c r="B513" s="2"/>
    </row>
    <row r="514" spans="2:2">
      <c r="B514" s="2"/>
    </row>
    <row r="515" spans="2:2">
      <c r="B515" s="2"/>
    </row>
    <row r="516" spans="2:2">
      <c r="B516" s="2"/>
    </row>
    <row r="517" spans="2:2">
      <c r="B517" s="2"/>
    </row>
    <row r="518" spans="2:2">
      <c r="B518" s="2"/>
    </row>
    <row r="519" spans="2:2">
      <c r="B519" s="2"/>
    </row>
    <row r="520" spans="2:2">
      <c r="B520" s="2"/>
    </row>
    <row r="521" spans="2:2">
      <c r="B521" s="2"/>
    </row>
    <row r="522" spans="2:2">
      <c r="B522" s="2"/>
    </row>
    <row r="523" spans="2:2">
      <c r="B523" s="2"/>
    </row>
    <row r="524" spans="2:2">
      <c r="B524" s="2"/>
    </row>
    <row r="525" spans="2:2">
      <c r="B525" s="2"/>
    </row>
    <row r="526" spans="2:2">
      <c r="B526" s="2"/>
    </row>
    <row r="527" spans="2:2">
      <c r="B527" s="2"/>
    </row>
    <row r="528" spans="2:2">
      <c r="B528" s="2"/>
    </row>
    <row r="529" spans="2:2">
      <c r="B529" s="2"/>
    </row>
    <row r="530" spans="2:2">
      <c r="B530" s="2"/>
    </row>
    <row r="531" spans="2:2">
      <c r="B531" s="2"/>
    </row>
    <row r="532" spans="2:2">
      <c r="B532" s="2"/>
    </row>
    <row r="533" spans="2:2">
      <c r="B533" s="2"/>
    </row>
    <row r="534" spans="2:2">
      <c r="B534" s="2"/>
    </row>
    <row r="535" spans="2:2">
      <c r="B535" s="2"/>
    </row>
    <row r="536" spans="2:2">
      <c r="B536" s="2"/>
    </row>
    <row r="537" spans="2:2">
      <c r="B537" s="2"/>
    </row>
    <row r="538" spans="2:2">
      <c r="B538" s="2"/>
    </row>
    <row r="539" spans="2:2">
      <c r="B539" s="2"/>
    </row>
    <row r="540" spans="2:2">
      <c r="B540" s="2"/>
    </row>
    <row r="541" spans="2:2">
      <c r="B541" s="2"/>
    </row>
    <row r="542" spans="2:2">
      <c r="B542" s="2"/>
    </row>
    <row r="543" spans="2:2">
      <c r="B543" s="2"/>
    </row>
    <row r="544" spans="2:2">
      <c r="B544" s="2"/>
    </row>
    <row r="545" spans="2:2">
      <c r="B545" s="2"/>
    </row>
    <row r="546" spans="2:2">
      <c r="B546" s="2"/>
    </row>
    <row r="547" spans="2:2">
      <c r="B547" s="2"/>
    </row>
    <row r="548" spans="2:2">
      <c r="B548" s="2"/>
    </row>
    <row r="549" spans="2:2">
      <c r="B549" s="2"/>
    </row>
    <row r="550" spans="2:2">
      <c r="B550" s="2"/>
    </row>
    <row r="551" spans="2:2">
      <c r="B551" s="2"/>
    </row>
    <row r="552" spans="2:2">
      <c r="B552" s="2"/>
    </row>
    <row r="553" spans="2:2">
      <c r="B553" s="2"/>
    </row>
    <row r="554" spans="2:2">
      <c r="B554" s="2"/>
    </row>
    <row r="555" spans="2:2">
      <c r="B555" s="2"/>
    </row>
    <row r="556" spans="2:2">
      <c r="B556" s="2"/>
    </row>
    <row r="557" spans="2:2">
      <c r="B557" s="2"/>
    </row>
    <row r="558" spans="2:2">
      <c r="B558" s="2"/>
    </row>
    <row r="559" spans="2:2">
      <c r="B559" s="2"/>
    </row>
    <row r="560" spans="2:2">
      <c r="B560" s="2"/>
    </row>
    <row r="561" spans="2:2">
      <c r="B561" s="2"/>
    </row>
    <row r="562" spans="2:2">
      <c r="B562" s="2"/>
    </row>
    <row r="563" spans="2:2">
      <c r="B563" s="2"/>
    </row>
    <row r="564" spans="2:2">
      <c r="B564" s="2"/>
    </row>
    <row r="565" spans="2:2">
      <c r="B565" s="2"/>
    </row>
    <row r="566" spans="2:2">
      <c r="B566" s="2"/>
    </row>
    <row r="567" spans="2:2">
      <c r="B567" s="2"/>
    </row>
    <row r="568" spans="2:2">
      <c r="B568" s="2"/>
    </row>
    <row r="569" spans="2:2">
      <c r="B569" s="2"/>
    </row>
    <row r="570" spans="2:2">
      <c r="B570" s="2"/>
    </row>
    <row r="571" spans="2:2">
      <c r="B571" s="2"/>
    </row>
    <row r="572" spans="2:2">
      <c r="B572" s="2"/>
    </row>
    <row r="573" spans="2:2">
      <c r="B573" s="2"/>
    </row>
    <row r="574" spans="2:2">
      <c r="B574" s="2"/>
    </row>
    <row r="575" spans="2:2">
      <c r="B575" s="2"/>
    </row>
    <row r="576" spans="2:2">
      <c r="B576" s="2"/>
    </row>
    <row r="577" spans="2:2">
      <c r="B577" s="2"/>
    </row>
    <row r="578" spans="2:2">
      <c r="B578" s="2"/>
    </row>
    <row r="579" spans="2:2">
      <c r="B579" s="2"/>
    </row>
    <row r="580" spans="2:2">
      <c r="B580" s="2"/>
    </row>
    <row r="581" spans="2:2">
      <c r="B581" s="2"/>
    </row>
    <row r="582" spans="2:2">
      <c r="B582" s="2"/>
    </row>
    <row r="583" spans="2:2">
      <c r="B583" s="2"/>
    </row>
    <row r="584" spans="2:2">
      <c r="B584" s="2"/>
    </row>
    <row r="585" spans="2:2">
      <c r="B585" s="2"/>
    </row>
    <row r="586" spans="2:2">
      <c r="B586" s="2"/>
    </row>
    <row r="587" spans="2:2">
      <c r="B587" s="2"/>
    </row>
    <row r="588" spans="2:2">
      <c r="B588" s="2"/>
    </row>
    <row r="589" spans="2:2">
      <c r="B589" s="2"/>
    </row>
    <row r="590" spans="2:2">
      <c r="B590" s="2"/>
    </row>
    <row r="591" spans="2:2">
      <c r="B591" s="2"/>
    </row>
    <row r="592" spans="2:2">
      <c r="B592" s="2"/>
    </row>
    <row r="593" spans="2:2">
      <c r="B593" s="2"/>
    </row>
    <row r="594" spans="2:2">
      <c r="B594" s="2"/>
    </row>
    <row r="595" spans="2:2">
      <c r="B595" s="2"/>
    </row>
    <row r="596" spans="2:2">
      <c r="B596" s="2"/>
    </row>
    <row r="597" spans="2:2">
      <c r="B597" s="2"/>
    </row>
    <row r="598" spans="2:2">
      <c r="B598" s="2"/>
    </row>
    <row r="599" spans="2:2">
      <c r="B599" s="2"/>
    </row>
    <row r="600" spans="2:2">
      <c r="B600" s="2"/>
    </row>
    <row r="601" spans="2:2">
      <c r="B601" s="2"/>
    </row>
    <row r="602" spans="2:2">
      <c r="B602" s="2"/>
    </row>
    <row r="603" spans="2:2">
      <c r="B603" s="2"/>
    </row>
    <row r="604" spans="2:2">
      <c r="B604" s="2"/>
    </row>
    <row r="605" spans="2:2">
      <c r="B605" s="2"/>
    </row>
    <row r="606" spans="2:2">
      <c r="B606" s="2"/>
    </row>
    <row r="607" spans="2:2">
      <c r="B607" s="2"/>
    </row>
    <row r="608" spans="2:2">
      <c r="B608" s="2"/>
    </row>
    <row r="609" spans="2:2">
      <c r="B609" s="2"/>
    </row>
    <row r="610" spans="2:2">
      <c r="B610" s="2"/>
    </row>
    <row r="611" spans="2:2">
      <c r="B611" s="2"/>
    </row>
    <row r="612" spans="2:2">
      <c r="B612" s="2"/>
    </row>
    <row r="613" spans="2:2">
      <c r="B613" s="2"/>
    </row>
    <row r="614" spans="2:2">
      <c r="B614" s="2"/>
    </row>
    <row r="615" spans="2:2">
      <c r="B615" s="2"/>
    </row>
    <row r="616" spans="2:2">
      <c r="B616" s="2"/>
    </row>
    <row r="617" spans="2:2">
      <c r="B617" s="2"/>
    </row>
    <row r="618" spans="2:2">
      <c r="B618" s="2"/>
    </row>
    <row r="619" spans="2:2">
      <c r="B619" s="2"/>
    </row>
    <row r="620" spans="2:2">
      <c r="B620" s="2"/>
    </row>
    <row r="621" spans="2:2">
      <c r="B621" s="2"/>
    </row>
    <row r="622" spans="2:2">
      <c r="B622" s="2"/>
    </row>
    <row r="623" spans="2:2">
      <c r="B623" s="2"/>
    </row>
    <row r="624" spans="2:2">
      <c r="B624" s="2"/>
    </row>
    <row r="625" spans="2:2">
      <c r="B625" s="2"/>
    </row>
    <row r="626" spans="2:2">
      <c r="B626" s="2"/>
    </row>
    <row r="627" spans="2:2">
      <c r="B627" s="2"/>
    </row>
    <row r="628" spans="2:2">
      <c r="B628" s="2"/>
    </row>
    <row r="629" spans="2:2">
      <c r="B629" s="2"/>
    </row>
    <row r="630" spans="2:2">
      <c r="B630" s="2"/>
    </row>
    <row r="631" spans="2:2">
      <c r="B631" s="2"/>
    </row>
    <row r="632" spans="2:2">
      <c r="B632" s="2"/>
    </row>
    <row r="633" spans="2:2">
      <c r="B633" s="2"/>
    </row>
    <row r="634" spans="2:2">
      <c r="B634" s="2"/>
    </row>
    <row r="635" spans="2:2">
      <c r="B635" s="2"/>
    </row>
    <row r="636" spans="2:2">
      <c r="B636" s="2"/>
    </row>
    <row r="637" spans="2:2">
      <c r="B637" s="2"/>
    </row>
    <row r="638" spans="2:2">
      <c r="B638" s="2"/>
    </row>
    <row r="639" spans="2:2">
      <c r="B639" s="2"/>
    </row>
    <row r="640" spans="2:2">
      <c r="B640" s="2"/>
    </row>
    <row r="641" spans="2:2">
      <c r="B641" s="2"/>
    </row>
    <row r="642" spans="2:2">
      <c r="B642" s="2"/>
    </row>
    <row r="643" spans="2:2">
      <c r="B643" s="2"/>
    </row>
    <row r="644" spans="2:2">
      <c r="B644" s="2"/>
    </row>
    <row r="645" spans="2:2">
      <c r="B645" s="2"/>
    </row>
    <row r="646" spans="2:2">
      <c r="B646" s="2"/>
    </row>
    <row r="647" spans="2:2">
      <c r="B647" s="2"/>
    </row>
    <row r="648" spans="2:2">
      <c r="B648" s="2"/>
    </row>
    <row r="649" spans="2:2">
      <c r="B649" s="2"/>
    </row>
    <row r="650" spans="2:2">
      <c r="B650" s="2"/>
    </row>
    <row r="651" spans="2:2">
      <c r="B651" s="2"/>
    </row>
    <row r="652" spans="2:2">
      <c r="B652" s="2"/>
    </row>
    <row r="653" spans="2:2">
      <c r="B653" s="2"/>
    </row>
    <row r="654" spans="2:2">
      <c r="B654" s="2"/>
    </row>
    <row r="655" spans="2:2">
      <c r="B655" s="2"/>
    </row>
    <row r="656" spans="2:2">
      <c r="B656" s="2"/>
    </row>
    <row r="657" spans="2:2">
      <c r="B657" s="2"/>
    </row>
    <row r="658" spans="2:2">
      <c r="B658" s="2"/>
    </row>
    <row r="659" spans="2:2">
      <c r="B659" s="2"/>
    </row>
    <row r="660" spans="2:2">
      <c r="B660" s="2"/>
    </row>
    <row r="661" spans="2:2">
      <c r="B661" s="2"/>
    </row>
    <row r="662" spans="2:2">
      <c r="B662" s="2"/>
    </row>
    <row r="663" spans="2:2">
      <c r="B663" s="2"/>
    </row>
    <row r="664" spans="2:2">
      <c r="B664" s="2"/>
    </row>
    <row r="665" spans="2:2">
      <c r="B665" s="2"/>
    </row>
    <row r="666" spans="2:2">
      <c r="B666" s="2"/>
    </row>
    <row r="667" spans="2:2">
      <c r="B667" s="2"/>
    </row>
    <row r="668" spans="2:2">
      <c r="B668" s="2"/>
    </row>
    <row r="669" spans="2:2">
      <c r="B669" s="2"/>
    </row>
    <row r="670" spans="2:2">
      <c r="B670" s="2"/>
    </row>
    <row r="671" spans="2:2">
      <c r="B671" s="2"/>
    </row>
    <row r="672" spans="2:2">
      <c r="B672" s="2"/>
    </row>
    <row r="673" spans="2:2">
      <c r="B673" s="2"/>
    </row>
    <row r="674" spans="2:2">
      <c r="B674" s="2"/>
    </row>
    <row r="675" spans="2:2">
      <c r="B675" s="2"/>
    </row>
    <row r="676" spans="2:2">
      <c r="B676" s="2"/>
    </row>
    <row r="677" spans="2:2">
      <c r="B677" s="2"/>
    </row>
    <row r="678" spans="2:2">
      <c r="B678" s="2"/>
    </row>
    <row r="679" spans="2:2">
      <c r="B679" s="2"/>
    </row>
    <row r="680" spans="2:2">
      <c r="B680" s="2"/>
    </row>
    <row r="681" spans="2:2">
      <c r="B681" s="2"/>
    </row>
    <row r="682" spans="2:2">
      <c r="B682" s="2"/>
    </row>
    <row r="683" spans="2:2">
      <c r="B683" s="2"/>
    </row>
    <row r="684" spans="2:2">
      <c r="B684" s="2"/>
    </row>
    <row r="685" spans="2:2">
      <c r="B685" s="2"/>
    </row>
    <row r="686" spans="2:2">
      <c r="B686" s="2"/>
    </row>
    <row r="687" spans="2:2">
      <c r="B687" s="2"/>
    </row>
    <row r="688" spans="2:2">
      <c r="B688" s="2"/>
    </row>
    <row r="689" spans="2:2">
      <c r="B689" s="2"/>
    </row>
    <row r="690" spans="2:2">
      <c r="B690" s="2"/>
    </row>
    <row r="691" spans="2:2">
      <c r="B691" s="2"/>
    </row>
    <row r="692" spans="2:2">
      <c r="B692" s="2"/>
    </row>
    <row r="693" spans="2:2">
      <c r="B693" s="2"/>
    </row>
    <row r="694" spans="2:2">
      <c r="B694" s="2"/>
    </row>
    <row r="695" spans="2:2">
      <c r="B695" s="2"/>
    </row>
    <row r="696" spans="2:2">
      <c r="B696" s="2"/>
    </row>
    <row r="697" spans="2:2">
      <c r="B697" s="2"/>
    </row>
    <row r="698" spans="2:2">
      <c r="B698" s="2"/>
    </row>
    <row r="699" spans="2:2">
      <c r="B699" s="2"/>
    </row>
    <row r="700" spans="2:2">
      <c r="B700" s="2"/>
    </row>
    <row r="701" spans="2:2">
      <c r="B701" s="2"/>
    </row>
    <row r="702" spans="2:2">
      <c r="B702" s="2"/>
    </row>
    <row r="703" spans="2:2">
      <c r="B703" s="2"/>
    </row>
    <row r="704" spans="2:2">
      <c r="B704" s="2"/>
    </row>
    <row r="705" spans="2:2">
      <c r="B705" s="2"/>
    </row>
    <row r="706" spans="2:2">
      <c r="B706" s="2"/>
    </row>
    <row r="707" spans="2:2">
      <c r="B707" s="2"/>
    </row>
    <row r="708" spans="2:2">
      <c r="B708" s="2"/>
    </row>
    <row r="709" spans="2:2">
      <c r="B709" s="2"/>
    </row>
    <row r="710" spans="2:2">
      <c r="B710" s="2"/>
    </row>
    <row r="711" spans="2:2">
      <c r="B711" s="2"/>
    </row>
    <row r="712" spans="2:2">
      <c r="B712" s="2"/>
    </row>
    <row r="713" spans="2:2">
      <c r="B713" s="2"/>
    </row>
    <row r="714" spans="2:2">
      <c r="B714" s="2"/>
    </row>
    <row r="715" spans="2:2">
      <c r="B715" s="2"/>
    </row>
    <row r="716" spans="2:2">
      <c r="B716" s="2"/>
    </row>
    <row r="717" spans="2:2">
      <c r="B717" s="2"/>
    </row>
    <row r="718" spans="2:2">
      <c r="B718" s="2"/>
    </row>
    <row r="719" spans="2:2">
      <c r="B719" s="2"/>
    </row>
    <row r="720" spans="2:2">
      <c r="B720" s="2"/>
    </row>
    <row r="721" spans="2:2">
      <c r="B721" s="2"/>
    </row>
    <row r="722" spans="2:2">
      <c r="B722" s="2"/>
    </row>
    <row r="723" spans="2:2">
      <c r="B723" s="2"/>
    </row>
    <row r="724" spans="2:2">
      <c r="B724" s="2"/>
    </row>
    <row r="725" spans="2:2">
      <c r="B725" s="2"/>
    </row>
    <row r="726" spans="2:2">
      <c r="B726" s="2"/>
    </row>
    <row r="727" spans="2:2">
      <c r="B727" s="2"/>
    </row>
    <row r="728" spans="2:2">
      <c r="B728" s="2"/>
    </row>
    <row r="729" spans="2:2">
      <c r="B729" s="2"/>
    </row>
    <row r="730" spans="2:2">
      <c r="B730" s="2"/>
    </row>
    <row r="731" spans="2:2">
      <c r="B731" s="2"/>
    </row>
    <row r="732" spans="2:2">
      <c r="B732" s="2"/>
    </row>
    <row r="733" spans="2:2">
      <c r="B733" s="2"/>
    </row>
    <row r="734" spans="2:2">
      <c r="B734" s="2"/>
    </row>
    <row r="735" spans="2:2">
      <c r="B735" s="2"/>
    </row>
    <row r="736" spans="2:2">
      <c r="B736" s="2"/>
    </row>
    <row r="737" spans="2:2">
      <c r="B737" s="2"/>
    </row>
    <row r="738" spans="2:2">
      <c r="B738" s="2"/>
    </row>
    <row r="739" spans="2:2">
      <c r="B739" s="2"/>
    </row>
    <row r="740" spans="2:2">
      <c r="B740" s="2"/>
    </row>
    <row r="741" spans="2:2">
      <c r="B741" s="2"/>
    </row>
    <row r="742" spans="2:2">
      <c r="B742" s="2"/>
    </row>
    <row r="743" spans="2:2">
      <c r="B743" s="2"/>
    </row>
    <row r="744" spans="2:2">
      <c r="B744" s="2"/>
    </row>
    <row r="745" spans="2:2">
      <c r="B745" s="2"/>
    </row>
    <row r="746" spans="2:2">
      <c r="B746" s="2"/>
    </row>
    <row r="747" spans="2:2">
      <c r="B747" s="2"/>
    </row>
    <row r="748" spans="2:2">
      <c r="B748" s="2"/>
    </row>
    <row r="749" spans="2:2">
      <c r="B749" s="2"/>
    </row>
    <row r="750" spans="2:2">
      <c r="B750" s="2"/>
    </row>
    <row r="751" spans="2:2">
      <c r="B751" s="2"/>
    </row>
    <row r="752" spans="2:2">
      <c r="B752" s="2"/>
    </row>
    <row r="753" spans="2:2">
      <c r="B753" s="2"/>
    </row>
    <row r="754" spans="2:2">
      <c r="B754" s="2"/>
    </row>
    <row r="755" spans="2:2">
      <c r="B755" s="2"/>
    </row>
    <row r="756" spans="2:2">
      <c r="B756" s="2"/>
    </row>
    <row r="757" spans="2:2">
      <c r="B757" s="2"/>
    </row>
    <row r="758" spans="2:2">
      <c r="B758" s="2"/>
    </row>
    <row r="759" spans="2:2">
      <c r="B759" s="2"/>
    </row>
    <row r="760" spans="2:2">
      <c r="B760" s="2"/>
    </row>
    <row r="761" spans="2:2">
      <c r="B761" s="2"/>
    </row>
    <row r="762" spans="2:2">
      <c r="B762" s="2"/>
    </row>
    <row r="763" spans="2:2">
      <c r="B763" s="2"/>
    </row>
    <row r="764" spans="2:2">
      <c r="B764" s="2"/>
    </row>
    <row r="765" spans="2:2">
      <c r="B765" s="2"/>
    </row>
    <row r="766" spans="2:2">
      <c r="B766" s="2"/>
    </row>
    <row r="767" spans="2:2">
      <c r="B767" s="2"/>
    </row>
    <row r="768" spans="2:2">
      <c r="B768" s="2"/>
    </row>
    <row r="769" spans="2:2">
      <c r="B769" s="2"/>
    </row>
    <row r="770" spans="2:2">
      <c r="B770" s="2"/>
    </row>
    <row r="771" spans="2:2">
      <c r="B771" s="2"/>
    </row>
    <row r="772" spans="2:2">
      <c r="B772" s="2"/>
    </row>
    <row r="773" spans="2:2">
      <c r="B773" s="2"/>
    </row>
    <row r="774" spans="2:2">
      <c r="B774" s="2"/>
    </row>
    <row r="775" spans="2:2">
      <c r="B775" s="2"/>
    </row>
    <row r="776" spans="2:2">
      <c r="B776" s="2"/>
    </row>
    <row r="777" spans="2:2">
      <c r="B777" s="2"/>
    </row>
    <row r="778" spans="2:2">
      <c r="B778" s="2"/>
    </row>
    <row r="779" spans="2:2">
      <c r="B779" s="2"/>
    </row>
    <row r="780" spans="2:2">
      <c r="B780" s="2"/>
    </row>
    <row r="781" spans="2:2">
      <c r="B781" s="2"/>
    </row>
    <row r="782" spans="2:2">
      <c r="B782" s="2"/>
    </row>
    <row r="783" spans="2:2">
      <c r="B783" s="2"/>
    </row>
    <row r="784" spans="2:2">
      <c r="B784" s="2"/>
    </row>
    <row r="785" spans="2:2">
      <c r="B785" s="2"/>
    </row>
    <row r="786" spans="2:2">
      <c r="B786" s="2"/>
    </row>
    <row r="787" spans="2:2">
      <c r="B787" s="2"/>
    </row>
    <row r="788" spans="2:2">
      <c r="B788" s="2"/>
    </row>
    <row r="789" spans="2:2">
      <c r="B789" s="2"/>
    </row>
    <row r="790" spans="2:2">
      <c r="B790" s="2"/>
    </row>
    <row r="791" spans="2:2">
      <c r="B791" s="2"/>
    </row>
    <row r="792" spans="2:2">
      <c r="B792" s="2"/>
    </row>
    <row r="793" spans="2:2">
      <c r="B793" s="2"/>
    </row>
    <row r="794" spans="2:2">
      <c r="B794" s="2"/>
    </row>
    <row r="795" spans="2:2">
      <c r="B795" s="2"/>
    </row>
    <row r="796" spans="2:2">
      <c r="B796" s="2"/>
    </row>
    <row r="797" spans="2:2">
      <c r="B797" s="2"/>
    </row>
    <row r="798" spans="2:2">
      <c r="B798" s="2"/>
    </row>
    <row r="799" spans="2:2">
      <c r="B799" s="2"/>
    </row>
    <row r="800" spans="2:2">
      <c r="B800" s="2"/>
    </row>
    <row r="801" spans="2:2">
      <c r="B801" s="2"/>
    </row>
    <row r="802" spans="2:2">
      <c r="B802" s="2"/>
    </row>
    <row r="803" spans="2:2">
      <c r="B803" s="2"/>
    </row>
    <row r="804" spans="2:2">
      <c r="B804" s="2"/>
    </row>
    <row r="805" spans="2:2">
      <c r="B805" s="2"/>
    </row>
    <row r="806" spans="2:2">
      <c r="B806" s="2"/>
    </row>
    <row r="807" spans="2:2">
      <c r="B807" s="2"/>
    </row>
    <row r="808" spans="2:2">
      <c r="B808" s="2"/>
    </row>
    <row r="809" spans="2:2">
      <c r="B809" s="2"/>
    </row>
    <row r="810" spans="2:2">
      <c r="B810" s="2"/>
    </row>
    <row r="811" spans="2:2">
      <c r="B811" s="2"/>
    </row>
    <row r="812" spans="2:2">
      <c r="B812" s="2"/>
    </row>
    <row r="813" spans="2:2">
      <c r="B813" s="2"/>
    </row>
    <row r="814" spans="2:2">
      <c r="B814" s="2"/>
    </row>
    <row r="815" spans="2:2">
      <c r="B815" s="2"/>
    </row>
    <row r="816" spans="2:2">
      <c r="B816" s="2"/>
    </row>
    <row r="817" spans="2:2">
      <c r="B817" s="2"/>
    </row>
    <row r="818" spans="2:2">
      <c r="B818" s="2"/>
    </row>
    <row r="819" spans="2:2">
      <c r="B819" s="2"/>
    </row>
    <row r="820" spans="2:2">
      <c r="B820" s="2"/>
    </row>
    <row r="821" spans="2:2">
      <c r="B821" s="2"/>
    </row>
    <row r="822" spans="2:2">
      <c r="B822" s="2"/>
    </row>
    <row r="823" spans="2:2">
      <c r="B823" s="2"/>
    </row>
    <row r="824" spans="2:2">
      <c r="B824" s="2"/>
    </row>
    <row r="825" spans="2:2">
      <c r="B825" s="2"/>
    </row>
    <row r="826" spans="2:2">
      <c r="B826" s="2"/>
    </row>
    <row r="827" spans="2:2">
      <c r="B827" s="2"/>
    </row>
    <row r="828" spans="2:2">
      <c r="B828" s="2"/>
    </row>
    <row r="829" spans="2:2">
      <c r="B829" s="2"/>
    </row>
    <row r="830" spans="2:2">
      <c r="B830" s="2"/>
    </row>
    <row r="831" spans="2:2">
      <c r="B831" s="2"/>
    </row>
    <row r="832" spans="2:2">
      <c r="B832" s="2"/>
    </row>
    <row r="833" spans="2:2">
      <c r="B833" s="2"/>
    </row>
    <row r="834" spans="2:2">
      <c r="B834" s="2"/>
    </row>
    <row r="835" spans="2:2">
      <c r="B835" s="2"/>
    </row>
    <row r="836" spans="2:2">
      <c r="B836" s="2"/>
    </row>
    <row r="837" spans="2:2">
      <c r="B837" s="2"/>
    </row>
    <row r="838" spans="2:2">
      <c r="B838" s="2"/>
    </row>
    <row r="839" spans="2:2">
      <c r="B839" s="2"/>
    </row>
    <row r="840" spans="2:2">
      <c r="B840" s="2"/>
    </row>
    <row r="841" spans="2:2">
      <c r="B841" s="2"/>
    </row>
    <row r="842" spans="2:2">
      <c r="B842" s="2"/>
    </row>
    <row r="843" spans="2:2">
      <c r="B843" s="2"/>
    </row>
    <row r="844" spans="2:2">
      <c r="B844" s="2"/>
    </row>
    <row r="845" spans="2:2">
      <c r="B845" s="2"/>
    </row>
    <row r="846" spans="2:2">
      <c r="B846" s="2"/>
    </row>
    <row r="847" spans="2:2">
      <c r="B847" s="2"/>
    </row>
    <row r="848" spans="2:2">
      <c r="B848" s="2"/>
    </row>
    <row r="849" spans="2:2">
      <c r="B849" s="2"/>
    </row>
    <row r="850" spans="2:2">
      <c r="B850" s="2"/>
    </row>
    <row r="851" spans="2:2">
      <c r="B851" s="2"/>
    </row>
    <row r="852" spans="2:2">
      <c r="B852" s="2"/>
    </row>
    <row r="853" spans="2:2">
      <c r="B853" s="2"/>
    </row>
    <row r="854" spans="2:2">
      <c r="B854" s="2"/>
    </row>
    <row r="855" spans="2:2">
      <c r="B855" s="2"/>
    </row>
    <row r="856" spans="2:2">
      <c r="B856" s="2"/>
    </row>
    <row r="857" spans="2:2">
      <c r="B857" s="2"/>
    </row>
    <row r="858" spans="2:2">
      <c r="B858" s="2"/>
    </row>
    <row r="859" spans="2:2">
      <c r="B859" s="2"/>
    </row>
    <row r="860" spans="2:2">
      <c r="B860" s="2"/>
    </row>
    <row r="861" spans="2:2">
      <c r="B861" s="2"/>
    </row>
    <row r="862" spans="2:2">
      <c r="B862" s="2"/>
    </row>
    <row r="863" spans="2:2">
      <c r="B863" s="2"/>
    </row>
    <row r="864" spans="2:2">
      <c r="B864" s="2"/>
    </row>
    <row r="865" spans="2:2">
      <c r="B865" s="2"/>
    </row>
    <row r="866" spans="2:2">
      <c r="B866" s="2"/>
    </row>
    <row r="867" spans="2:2">
      <c r="B867" s="2"/>
    </row>
    <row r="868" spans="2:2">
      <c r="B868" s="2"/>
    </row>
    <row r="869" spans="2:2">
      <c r="B869" s="2"/>
    </row>
    <row r="870" spans="2:2">
      <c r="B870" s="2"/>
    </row>
    <row r="871" spans="2:2">
      <c r="B871" s="2"/>
    </row>
    <row r="872" spans="2:2">
      <c r="B872" s="2"/>
    </row>
    <row r="873" spans="2:2">
      <c r="B873" s="2"/>
    </row>
    <row r="874" spans="2:2">
      <c r="B874" s="2"/>
    </row>
    <row r="875" spans="2:2">
      <c r="B875" s="2"/>
    </row>
    <row r="876" spans="2:2">
      <c r="B876" s="2"/>
    </row>
    <row r="877" spans="2:2">
      <c r="B877" s="2"/>
    </row>
    <row r="878" spans="2:2">
      <c r="B878" s="2"/>
    </row>
    <row r="879" spans="2:2">
      <c r="B879" s="2"/>
    </row>
    <row r="880" spans="2:2">
      <c r="B880" s="2"/>
    </row>
    <row r="881" spans="2:2">
      <c r="B881" s="2"/>
    </row>
    <row r="882" spans="2:2">
      <c r="B882" s="2"/>
    </row>
    <row r="883" spans="2:2">
      <c r="B883" s="2"/>
    </row>
    <row r="884" spans="2:2">
      <c r="B884" s="2"/>
    </row>
    <row r="885" spans="2:2">
      <c r="B885" s="2"/>
    </row>
    <row r="886" spans="2:2">
      <c r="B886" s="2"/>
    </row>
    <row r="887" spans="2:2">
      <c r="B887" s="2"/>
    </row>
    <row r="888" spans="2:2">
      <c r="B888" s="2"/>
    </row>
    <row r="889" spans="2:2">
      <c r="B889" s="2"/>
    </row>
    <row r="890" spans="2:2">
      <c r="B890" s="2"/>
    </row>
    <row r="891" spans="2:2">
      <c r="B891" s="2"/>
    </row>
    <row r="892" spans="2:2">
      <c r="B892" s="2"/>
    </row>
    <row r="893" spans="2:2">
      <c r="B893" s="2"/>
    </row>
    <row r="894" spans="2:2">
      <c r="B894" s="2"/>
    </row>
    <row r="895" spans="2:2">
      <c r="B895" s="2"/>
    </row>
    <row r="896" spans="2:2">
      <c r="B896" s="2"/>
    </row>
    <row r="897" spans="2:2">
      <c r="B897" s="2"/>
    </row>
    <row r="898" spans="2:2">
      <c r="B898" s="2"/>
    </row>
    <row r="899" spans="2:2">
      <c r="B899" s="2"/>
    </row>
    <row r="900" spans="2:2">
      <c r="B900" s="2"/>
    </row>
    <row r="901" spans="2:2">
      <c r="B901" s="2"/>
    </row>
    <row r="902" spans="2:2">
      <c r="B902" s="2"/>
    </row>
    <row r="903" spans="2:2">
      <c r="B903" s="2"/>
    </row>
    <row r="904" spans="2:2">
      <c r="B904" s="2"/>
    </row>
    <row r="905" spans="2:2">
      <c r="B905" s="2"/>
    </row>
    <row r="906" spans="2:2">
      <c r="B906" s="2"/>
    </row>
    <row r="907" spans="2:2">
      <c r="B907" s="2"/>
    </row>
    <row r="908" spans="2:2">
      <c r="B908" s="2"/>
    </row>
    <row r="909" spans="2:2">
      <c r="B909" s="2"/>
    </row>
    <row r="910" spans="2:2">
      <c r="B910" s="2"/>
    </row>
    <row r="911" spans="2:2">
      <c r="B911" s="2"/>
    </row>
    <row r="912" spans="2:2">
      <c r="B912" s="2"/>
    </row>
    <row r="913" spans="2:2">
      <c r="B913" s="2"/>
    </row>
    <row r="914" spans="2:2">
      <c r="B914" s="2"/>
    </row>
    <row r="915" spans="2:2">
      <c r="B915" s="2"/>
    </row>
    <row r="916" spans="2:2">
      <c r="B916" s="2"/>
    </row>
    <row r="917" spans="2:2">
      <c r="B917" s="2"/>
    </row>
    <row r="918" spans="2:2">
      <c r="B918" s="2"/>
    </row>
    <row r="919" spans="2:2">
      <c r="B919" s="2"/>
    </row>
    <row r="920" spans="2:2">
      <c r="B920" s="2"/>
    </row>
    <row r="921" spans="2:2">
      <c r="B921" s="2"/>
    </row>
    <row r="922" spans="2:2">
      <c r="B922" s="2"/>
    </row>
    <row r="923" spans="2:2">
      <c r="B923" s="2"/>
    </row>
    <row r="924" spans="2:2">
      <c r="B924" s="2"/>
    </row>
    <row r="925" spans="2:2">
      <c r="B925" s="2"/>
    </row>
    <row r="926" spans="2:2">
      <c r="B926" s="2"/>
    </row>
    <row r="927" spans="2:2">
      <c r="B927" s="2"/>
    </row>
    <row r="928" spans="2:2">
      <c r="B928" s="2"/>
    </row>
    <row r="929" spans="2:2">
      <c r="B929" s="2"/>
    </row>
    <row r="930" spans="2:2">
      <c r="B930" s="2"/>
    </row>
    <row r="931" spans="2:2">
      <c r="B931" s="2"/>
    </row>
    <row r="932" spans="2:2">
      <c r="B932" s="2"/>
    </row>
    <row r="933" spans="2:2">
      <c r="B933" s="2"/>
    </row>
    <row r="934" spans="2:2">
      <c r="B934" s="2"/>
    </row>
    <row r="935" spans="2:2">
      <c r="B935" s="2"/>
    </row>
    <row r="936" spans="2:2">
      <c r="B936" s="2"/>
    </row>
    <row r="937" spans="2:2">
      <c r="B937" s="2"/>
    </row>
    <row r="938" spans="2:2">
      <c r="B938" s="2"/>
    </row>
    <row r="939" spans="2:2">
      <c r="B939" s="2"/>
    </row>
    <row r="940" spans="2:2">
      <c r="B940" s="2"/>
    </row>
    <row r="941" spans="2:2">
      <c r="B941" s="2"/>
    </row>
    <row r="942" spans="2:2">
      <c r="B942" s="2"/>
    </row>
    <row r="943" spans="2:2">
      <c r="B943" s="2"/>
    </row>
    <row r="944" spans="2:2">
      <c r="B944" s="2"/>
    </row>
    <row r="945" spans="2:2">
      <c r="B945" s="2"/>
    </row>
    <row r="946" spans="2:2">
      <c r="B946" s="2"/>
    </row>
    <row r="947" spans="2:2">
      <c r="B947" s="2"/>
    </row>
    <row r="948" spans="2:2">
      <c r="B948" s="2"/>
    </row>
    <row r="949" spans="2:2">
      <c r="B949" s="2"/>
    </row>
    <row r="950" spans="2:2">
      <c r="B950" s="2"/>
    </row>
    <row r="951" spans="2:2">
      <c r="B951" s="2"/>
    </row>
    <row r="952" spans="2:2">
      <c r="B952" s="2"/>
    </row>
    <row r="953" spans="2:2">
      <c r="B953" s="2"/>
    </row>
    <row r="954" spans="2:2">
      <c r="B954" s="2"/>
    </row>
    <row r="955" spans="2:2">
      <c r="B955" s="2"/>
    </row>
    <row r="956" spans="2:2">
      <c r="B956" s="2"/>
    </row>
    <row r="957" spans="2:2">
      <c r="B957" s="2"/>
    </row>
    <row r="958" spans="2:2">
      <c r="B958" s="2"/>
    </row>
    <row r="959" spans="2:2">
      <c r="B959" s="2"/>
    </row>
    <row r="960" spans="2:2">
      <c r="B960" s="2"/>
    </row>
    <row r="961" spans="2:2">
      <c r="B961" s="2"/>
    </row>
    <row r="962" spans="2:2">
      <c r="B962" s="2"/>
    </row>
    <row r="963" spans="2:2">
      <c r="B963" s="2"/>
    </row>
    <row r="964" spans="2:2">
      <c r="B964" s="2"/>
    </row>
    <row r="965" spans="2:2">
      <c r="B965" s="2"/>
    </row>
    <row r="966" spans="2:2">
      <c r="B966" s="2"/>
    </row>
    <row r="967" spans="2:2">
      <c r="B967" s="2"/>
    </row>
    <row r="968" spans="2:2">
      <c r="B968" s="2"/>
    </row>
    <row r="969" spans="2:2">
      <c r="B969" s="2"/>
    </row>
    <row r="970" spans="2:2">
      <c r="B970" s="2"/>
    </row>
    <row r="971" spans="2:2">
      <c r="B971" s="2"/>
    </row>
    <row r="972" spans="2:2">
      <c r="B972" s="2"/>
    </row>
    <row r="973" spans="2:2">
      <c r="B973" s="2"/>
    </row>
    <row r="974" spans="2:2">
      <c r="B974" s="2"/>
    </row>
    <row r="975" spans="2:2">
      <c r="B975" s="2"/>
    </row>
    <row r="976" spans="2:2">
      <c r="B976" s="2"/>
    </row>
    <row r="977" spans="2:2">
      <c r="B977" s="2"/>
    </row>
    <row r="978" spans="2:2">
      <c r="B978" s="2"/>
    </row>
    <row r="979" spans="2:2">
      <c r="B979" s="2"/>
    </row>
    <row r="980" spans="2:2">
      <c r="B980" s="2"/>
    </row>
    <row r="981" spans="2:2">
      <c r="B981" s="2"/>
    </row>
    <row r="982" spans="2:2">
      <c r="B982" s="2"/>
    </row>
    <row r="983" spans="2:2">
      <c r="B983" s="2"/>
    </row>
    <row r="984" spans="2:2">
      <c r="B984" s="2"/>
    </row>
    <row r="985" spans="2:2">
      <c r="B985" s="2"/>
    </row>
    <row r="986" spans="2:2">
      <c r="B986" s="2"/>
    </row>
    <row r="987" spans="2:2">
      <c r="B987" s="2"/>
    </row>
    <row r="988" spans="2:2">
      <c r="B988" s="2"/>
    </row>
    <row r="989" spans="2:2">
      <c r="B989" s="2"/>
    </row>
    <row r="990" spans="2:2">
      <c r="B990" s="2"/>
    </row>
    <row r="991" spans="2:2">
      <c r="B991" s="2"/>
    </row>
    <row r="992" spans="2:2">
      <c r="B992" s="2"/>
    </row>
    <row r="993" spans="2:2">
      <c r="B993" s="2"/>
    </row>
    <row r="994" spans="2:2">
      <c r="B994" s="2"/>
    </row>
    <row r="995" spans="2:2">
      <c r="B995" s="2"/>
    </row>
    <row r="996" spans="2:2">
      <c r="B996" s="2"/>
    </row>
    <row r="997" spans="2:2">
      <c r="B997" s="2"/>
    </row>
    <row r="998" spans="2:2">
      <c r="B998" s="2"/>
    </row>
    <row r="999" spans="2:2">
      <c r="B999" s="2"/>
    </row>
    <row r="1000" spans="2:2">
      <c r="B1000" s="2"/>
    </row>
  </sheetData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activeCell="A1" sqref="A1"/>
    </sheetView>
  </sheetViews>
  <sheetFormatPr defaultColWidth="12.63000000" defaultRowHeight="15.750000" customHeight="1"/>
  <cols>
    <col min="1" max="1" width="25.14785658" customWidth="1" outlineLevel="0"/>
    <col min="2" max="3" width="12.57642828" customWidth="1" outlineLevel="0"/>
    <col min="4" max="4" width="75.14785658" customWidth="1" outlineLevel="0"/>
  </cols>
  <sheetData>
    <row r="1" spans="1:4">
      <c r="A1" s="41" t="s">
        <v>462</v>
      </c>
    </row>
    <row r="2" spans="1:4">
      <c r="A2" s="42" t="s">
        <v>463</v>
      </c>
    </row>
    <row r="3" spans="1:4">
      <c r="A3" s="42" t="s">
        <v>464</v>
      </c>
    </row>
    <row r="6" spans="1:4">
      <c r="A6" s="46" t="s">
        <v>465</v>
      </c>
      <c r="B6" s="47">
        <v>145</v>
      </c>
      <c r="C6" s="42" t="s">
        <v>466</v>
      </c>
      <c r="D6" s="42" t="s">
        <v>467</v>
      </c>
    </row>
    <row r="8" spans="1:4">
      <c r="A8" s="46" t="s">
        <v>468</v>
      </c>
      <c r="B8" s="47">
        <v>1</v>
      </c>
      <c r="C8" s="42" t="s">
        <v>466</v>
      </c>
      <c r="D8" s="42" t="s">
        <v>469</v>
      </c>
    </row>
    <row r="10" spans="1:4">
      <c r="A10" s="46" t="s">
        <v>470</v>
      </c>
      <c r="B10" s="47">
        <v>0</v>
      </c>
      <c r="C10" s="42" t="s">
        <v>466</v>
      </c>
      <c r="D10" s="42" t="s">
        <v>471</v>
      </c>
    </row>
    <row r="12" spans="1:4">
      <c r="A12" s="46" t="s">
        <v>472</v>
      </c>
      <c r="B12" s="47">
        <v>0</v>
      </c>
      <c r="C12" s="42" t="s">
        <v>466</v>
      </c>
      <c r="D12" s="42" t="s">
        <v>473</v>
      </c>
    </row>
    <row r="14" spans="1:4">
      <c r="A14" s="46" t="s">
        <v>474</v>
      </c>
      <c r="B14" s="48">
        <v>0.00689655172413793</v>
      </c>
      <c r="C14" s="49" t="str">
        <f>IFERROR(__xludf.DUMMYFUNCTION("SPARKLINE(B14,{""charttype"",""bar"";""max"",1})"),"")</f>
        <v/>
      </c>
      <c r="D14" s="42" t="s">
        <v>475</v>
      </c>
    </row>
    <row r="16" spans="1:4">
      <c r="A16" s="46" t="s">
        <v>476</v>
      </c>
      <c r="B16" s="48">
        <v>0</v>
      </c>
      <c r="C16" s="49" t="str">
        <f>IFERROR(__xludf.DUMMYFUNCTION("SPARKLINE(B16,{""charttype"",""bar"";""max"",1})"),"")</f>
        <v/>
      </c>
      <c r="D16" s="42" t="s">
        <v>477</v>
      </c>
    </row>
    <row r="18" spans="1:4">
      <c r="A18" s="46" t="s">
        <v>478</v>
      </c>
      <c r="B18" s="48">
        <v>-0.00689655172413793</v>
      </c>
      <c r="C18" s="49" t="str">
        <f>IFERROR(__xludf.DUMMYFUNCTION("SPARKLINE(ABS(B18), {""charttype"",""bar""; ""max"",1; ""color1"", IF(B18&lt;0, ""red"", ""blue"")})"),"")</f>
        <v/>
      </c>
      <c r="D18" s="42" t="s">
        <v>479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junyoung.kim</cp:lastModifiedBy>
  <cp:version>10.105.307.56236</cp:version>
</cp:coreProperties>
</file>